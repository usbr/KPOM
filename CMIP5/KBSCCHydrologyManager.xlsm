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65" yWindow="720" windowWidth="14850" windowHeight="10380" tabRatio="945"/>
  </bookViews>
  <sheets>
    <sheet name="Setup" sheetId="48" r:id="rId1"/>
    <sheet name="FuturesMap" sheetId="56" r:id="rId2"/>
    <sheet name="Instructions" sheetId="55" r:id="rId3"/>
  </sheets>
  <functionGroups builtInGroupCount="17"/>
  <calcPr calcId="145621" calcMode="manual"/>
</workbook>
</file>

<file path=xl/calcChain.xml><?xml version="1.0" encoding="utf-8"?>
<calcChain xmlns="http://schemas.openxmlformats.org/spreadsheetml/2006/main">
  <c r="B20" i="48" l="1"/>
  <c r="G2" i="56" l="1"/>
  <c r="G13" i="56" l="1"/>
  <c r="G12" i="56"/>
  <c r="G11" i="56"/>
  <c r="G10" i="56"/>
  <c r="G9" i="56"/>
  <c r="G8" i="56"/>
  <c r="G7" i="56"/>
  <c r="G6" i="56"/>
  <c r="G5" i="56"/>
  <c r="G4" i="56"/>
  <c r="G3" i="56"/>
  <c r="F8" i="56"/>
  <c r="F9" i="56"/>
  <c r="F10" i="56"/>
  <c r="F11" i="56"/>
  <c r="F12" i="56"/>
  <c r="F13" i="56"/>
  <c r="F7" i="56" l="1"/>
  <c r="F6" i="56"/>
  <c r="F5" i="56"/>
  <c r="F4" i="56"/>
  <c r="F3" i="56"/>
  <c r="F2" i="56"/>
</calcChain>
</file>

<file path=xl/comments1.xml><?xml version="1.0" encoding="utf-8"?>
<comments xmlns="http://schemas.openxmlformats.org/spreadsheetml/2006/main">
  <authors>
    <author>Dave King</author>
  </authors>
  <commentList>
    <comment ref="A19" authorId="0">
      <text>
        <r>
          <rPr>
            <sz val="9"/>
            <color indexed="81"/>
            <rFont val="Tahoma"/>
            <family val="2"/>
          </rPr>
          <t>Folder where templlate workbooks exist. This is usually where the application is installed.</t>
        </r>
      </text>
    </comment>
    <comment ref="A20" authorId="0">
      <text>
        <r>
          <rPr>
            <sz val="9"/>
            <color indexed="81"/>
            <rFont val="Tahoma"/>
            <family val="2"/>
          </rPr>
          <t>Folder where timeseries workbooks exist.</t>
        </r>
      </text>
    </comment>
    <comment ref="A21" authorId="0">
      <text>
        <r>
          <rPr>
            <sz val="9"/>
            <color indexed="81"/>
            <rFont val="Tahoma"/>
            <family val="2"/>
          </rPr>
          <t>Mother folder of raw (biased) VIC HDe Flows.</t>
        </r>
      </text>
    </comment>
    <comment ref="A22" authorId="0">
      <text>
        <r>
          <rPr>
            <sz val="9"/>
            <color indexed="81"/>
            <rFont val="Tahoma"/>
            <family val="2"/>
          </rPr>
          <t xml:space="preserve">Prefix of time series files. </t>
        </r>
      </text>
    </comment>
  </commentList>
</comments>
</file>

<file path=xl/sharedStrings.xml><?xml version="1.0" encoding="utf-8"?>
<sst xmlns="http://schemas.openxmlformats.org/spreadsheetml/2006/main" count="84" uniqueCount="55">
  <si>
    <t>Central</t>
  </si>
  <si>
    <t>Observed</t>
  </si>
  <si>
    <t>Start Year</t>
  </si>
  <si>
    <t>End Year</t>
  </si>
  <si>
    <t>Climate Change Scenario</t>
  </si>
  <si>
    <t>S1</t>
  </si>
  <si>
    <t>S2</t>
  </si>
  <si>
    <t>S3</t>
  </si>
  <si>
    <t>S4</t>
  </si>
  <si>
    <t>S5</t>
  </si>
  <si>
    <t>Worksheet</t>
  </si>
  <si>
    <t>S0</t>
  </si>
  <si>
    <t>Item</t>
  </si>
  <si>
    <t>Steps</t>
  </si>
  <si>
    <t>Used</t>
  </si>
  <si>
    <t>Simulation Period</t>
  </si>
  <si>
    <t>1. Specify Simulation and Future</t>
  </si>
  <si>
    <t>2. Compute Flows</t>
  </si>
  <si>
    <t>Available Futures</t>
  </si>
  <si>
    <t>File Specifications</t>
  </si>
  <si>
    <t>Templates Folder</t>
  </si>
  <si>
    <t>File Prefix</t>
  </si>
  <si>
    <t>Data Folder</t>
  </si>
  <si>
    <t>This application spatially and temporally disaggregates Maurer Observed and five HDe flow traces.  Input data are biased corrected flows.  The HDe flows are generated the HDe process applied to 112 bias corrected BCSD flow traces.  The flow of data are shown on Figure 1.</t>
  </si>
  <si>
    <t>Figure 1. Flow Data Pipeline.</t>
  </si>
  <si>
    <t>This application is the Flows Disaggregation Manager and produces the last two items of the pipeline</t>
  </si>
  <si>
    <t>Instructions --&gt;</t>
  </si>
  <si>
    <t>Scenario To Run --&gt;</t>
  </si>
  <si>
    <t>Future To Run</t>
  </si>
  <si>
    <t>C:\ExcelVBAProjects\ClimateChange\</t>
  </si>
  <si>
    <t>RAW VIC HDe Folder</t>
  </si>
  <si>
    <t>VIC Folder</t>
  </si>
  <si>
    <t>Scenario</t>
  </si>
  <si>
    <t>Future and Scenario</t>
  </si>
  <si>
    <t>Description</t>
  </si>
  <si>
    <t>Maurer</t>
  </si>
  <si>
    <t>warmdry</t>
  </si>
  <si>
    <t>warmwet</t>
  </si>
  <si>
    <t>hotdry</t>
  </si>
  <si>
    <t>hotwet</t>
  </si>
  <si>
    <t>central</t>
  </si>
  <si>
    <t>Period</t>
  </si>
  <si>
    <t>HDe Future</t>
  </si>
  <si>
    <t>VIC Future</t>
  </si>
  <si>
    <t>KBSFlows</t>
  </si>
  <si>
    <t>CMIP Type</t>
  </si>
  <si>
    <t>CMIP3</t>
  </si>
  <si>
    <t>2020-2049</t>
  </si>
  <si>
    <t>2030-2059</t>
  </si>
  <si>
    <t>Klamath Basin Study Daily Hydrology Manager</t>
  </si>
  <si>
    <t>Warmer Drier</t>
  </si>
  <si>
    <t>Warmer Wetter</t>
  </si>
  <si>
    <t>Hotter Drier</t>
  </si>
  <si>
    <t>Hotter Wetter</t>
  </si>
  <si>
    <t>C:\fieldprojects\KlamathBasin\data\vichde\</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</si>
</sst>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0"/>
      <name val="Arial"/>
    </font>
    <font>
      <sz val="10"/>
      <name val="Arial"/>
      <family val="2"/>
    </font>
    <font>
      <b/>
      <sz val="10"/>
      <name val="Arial"/>
      <family val="2"/>
    </font>
    <font>
      <b/>
      <sz val="11"/>
      <color theme="1"/>
      <name val="Calibri"/>
      <family val="2"/>
      <scheme val="minor"/>
    </font>
    <font>
      <sz val="9"/>
      <color indexed="81"/>
      <name val="Tahoma"/>
      <family val="2"/>
    </font>
    <font>
      <b/>
      <sz val="12"/>
      <color theme="1"/>
      <name val="Calibri"/>
      <family val="2"/>
      <scheme val="minor"/>
    </font>
    <font>
      <sz val="11"/>
      <color theme="1"/>
      <name val="Times New Roman"/>
      <family val="1"/>
    </font>
    <font>
      <sz val="11"/>
      <name val="Times New Roman"/>
      <family val="1"/>
    </font>
    <font>
      <sz val="12"/>
      <name val="Times New Roman"/>
      <family val="1"/>
    </font>
    <font>
      <u/>
      <sz val="11"/>
      <color theme="10"/>
      <name val="Calibri"/>
      <family val="2"/>
    </font>
    <font>
      <b/>
      <u/>
      <sz val="12"/>
      <color theme="10"/>
      <name val="Calibri"/>
      <family val="2"/>
    </font>
  </fonts>
  <fills count="8">
    <fill>
      <patternFill patternType="none"/>
    </fill>
    <fill>
      <patternFill patternType="gray125"/>
    </fill>
    <fill>
      <patternFill patternType="solid">
        <fgColor rgb="FF00B0F0"/>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s>
  <borders count="2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1" fillId="0" borderId="0"/>
    <xf numFmtId="0" fontId="1" fillId="0" borderId="0"/>
    <xf numFmtId="0" fontId="9" fillId="0" borderId="0" applyNumberFormat="0" applyFill="0" applyBorder="0" applyAlignment="0" applyProtection="0">
      <alignment vertical="top"/>
      <protection locked="0"/>
    </xf>
  </cellStyleXfs>
  <cellXfs count="52">
    <xf numFmtId="0" fontId="0" fillId="0" borderId="0" xfId="0"/>
    <xf numFmtId="0" fontId="1" fillId="0" borderId="10" xfId="0" applyFont="1" applyBorder="1"/>
    <xf numFmtId="0" fontId="0" fillId="0" borderId="0" xfId="0" applyAlignment="1">
      <alignment horizontal="center"/>
    </xf>
    <xf numFmtId="0" fontId="3" fillId="3" borderId="10" xfId="0" applyFont="1" applyFill="1" applyBorder="1" applyAlignment="1">
      <alignment horizontal="center"/>
    </xf>
    <xf numFmtId="0" fontId="1" fillId="0" borderId="16" xfId="0" applyFont="1" applyBorder="1"/>
    <xf numFmtId="0" fontId="0" fillId="4" borderId="9" xfId="0" applyFill="1" applyBorder="1"/>
    <xf numFmtId="0" fontId="3" fillId="3" borderId="18" xfId="0" applyFont="1" applyFill="1" applyBorder="1" applyAlignment="1">
      <alignment horizontal="center"/>
    </xf>
    <xf numFmtId="0" fontId="0" fillId="4" borderId="10" xfId="0" applyFill="1" applyBorder="1" applyAlignment="1"/>
    <xf numFmtId="0" fontId="5" fillId="2" borderId="10" xfId="0" applyFont="1" applyFill="1" applyBorder="1" applyAlignment="1">
      <alignment horizontal="center"/>
    </xf>
    <xf numFmtId="0" fontId="6" fillId="0" borderId="0" xfId="0" applyFont="1" applyAlignment="1">
      <alignment wrapText="1"/>
    </xf>
    <xf numFmtId="0" fontId="7" fillId="0" borderId="0" xfId="0" applyFont="1" applyAlignment="1">
      <alignment vertical="center"/>
    </xf>
    <xf numFmtId="0" fontId="8" fillId="0" borderId="0" xfId="0" applyFont="1" applyAlignment="1">
      <alignment vertical="center"/>
    </xf>
    <xf numFmtId="0" fontId="10" fillId="0" borderId="0" xfId="3" applyFont="1" applyAlignment="1" applyProtection="1"/>
    <xf numFmtId="0" fontId="1" fillId="0" borderId="10" xfId="0" applyFont="1" applyBorder="1" applyAlignment="1">
      <alignment horizontal="right"/>
    </xf>
    <xf numFmtId="0" fontId="1" fillId="0" borderId="0" xfId="0" applyFont="1"/>
    <xf numFmtId="0" fontId="1" fillId="0" borderId="0" xfId="0" applyFont="1" applyAlignment="1">
      <alignment wrapText="1"/>
    </xf>
    <xf numFmtId="0" fontId="5" fillId="6" borderId="1" xfId="0" applyFont="1" applyFill="1" applyBorder="1" applyAlignment="1">
      <alignment horizontal="center"/>
    </xf>
    <xf numFmtId="0" fontId="5" fillId="6" borderId="2" xfId="0" applyFont="1" applyFill="1" applyBorder="1" applyAlignment="1">
      <alignment horizontal="center"/>
    </xf>
    <xf numFmtId="0" fontId="5" fillId="6" borderId="3" xfId="0" applyFont="1" applyFill="1" applyBorder="1" applyAlignment="1">
      <alignment horizontal="center"/>
    </xf>
    <xf numFmtId="0" fontId="5" fillId="6" borderId="6" xfId="0" applyFont="1" applyFill="1" applyBorder="1" applyAlignment="1">
      <alignment horizontal="center"/>
    </xf>
    <xf numFmtId="0" fontId="5" fillId="6" borderId="0" xfId="0" applyFont="1" applyFill="1" applyBorder="1" applyAlignment="1">
      <alignment horizontal="center"/>
    </xf>
    <xf numFmtId="0" fontId="5" fillId="6" borderId="7" xfId="0" applyFont="1" applyFill="1" applyBorder="1" applyAlignment="1">
      <alignment horizontal="center"/>
    </xf>
    <xf numFmtId="0" fontId="5" fillId="6" borderId="4" xfId="0" applyFont="1" applyFill="1" applyBorder="1" applyAlignment="1">
      <alignment horizontal="center"/>
    </xf>
    <xf numFmtId="0" fontId="5" fillId="6" borderId="8" xfId="0" applyFont="1" applyFill="1" applyBorder="1" applyAlignment="1">
      <alignment horizontal="center"/>
    </xf>
    <xf numFmtId="0" fontId="5" fillId="6" borderId="9" xfId="0" applyFont="1" applyFill="1" applyBorder="1" applyAlignment="1">
      <alignment horizontal="center"/>
    </xf>
    <xf numFmtId="0" fontId="5" fillId="6" borderId="19" xfId="0" applyFont="1" applyFill="1" applyBorder="1" applyAlignment="1">
      <alignment horizontal="center"/>
    </xf>
    <xf numFmtId="0" fontId="5" fillId="6" borderId="20" xfId="0" applyFont="1" applyFill="1" applyBorder="1" applyAlignment="1">
      <alignment horizontal="center"/>
    </xf>
    <xf numFmtId="0" fontId="5" fillId="6" borderId="16" xfId="0" applyFont="1" applyFill="1" applyBorder="1" applyAlignment="1">
      <alignment horizontal="center"/>
    </xf>
    <xf numFmtId="0" fontId="1" fillId="7" borderId="10" xfId="0" applyFont="1" applyFill="1" applyBorder="1"/>
    <xf numFmtId="0" fontId="2" fillId="4" borderId="5"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1" fillId="0" borderId="5"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3" fillId="3" borderId="14" xfId="0" applyFont="1" applyFill="1" applyBorder="1" applyAlignment="1">
      <alignment horizontal="center"/>
    </xf>
    <xf numFmtId="0" fontId="3" fillId="3" borderId="11" xfId="0" applyFont="1" applyFill="1" applyBorder="1" applyAlignment="1">
      <alignment horizontal="center"/>
    </xf>
    <xf numFmtId="0" fontId="3" fillId="3" borderId="15" xfId="0" applyFont="1" applyFill="1" applyBorder="1" applyAlignment="1">
      <alignment horizontal="center"/>
    </xf>
    <xf numFmtId="0" fontId="5" fillId="2" borderId="5" xfId="0" applyFont="1" applyFill="1" applyBorder="1" applyAlignment="1">
      <alignment horizontal="center"/>
    </xf>
    <xf numFmtId="0" fontId="5" fillId="2" borderId="11" xfId="0" applyFont="1" applyFill="1" applyBorder="1" applyAlignment="1">
      <alignment horizontal="center"/>
    </xf>
    <xf numFmtId="0" fontId="5" fillId="2" borderId="12" xfId="0" applyFont="1" applyFill="1" applyBorder="1" applyAlignment="1">
      <alignment horizontal="center"/>
    </xf>
    <xf numFmtId="0" fontId="3" fillId="3" borderId="14" xfId="0" applyFont="1" applyFill="1" applyBorder="1" applyAlignment="1">
      <alignment horizontal="left"/>
    </xf>
    <xf numFmtId="0" fontId="3" fillId="3" borderId="11" xfId="0" applyFont="1" applyFill="1" applyBorder="1" applyAlignment="1">
      <alignment horizontal="left"/>
    </xf>
    <xf numFmtId="0" fontId="3" fillId="3" borderId="15" xfId="0" applyFont="1" applyFill="1" applyBorder="1" applyAlignment="1">
      <alignment horizontal="left"/>
    </xf>
    <xf numFmtId="0" fontId="0" fillId="4" borderId="5"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5" fillId="5" borderId="5" xfId="0" applyFont="1" applyFill="1" applyBorder="1" applyAlignment="1">
      <alignment horizontal="center"/>
    </xf>
    <xf numFmtId="0" fontId="5" fillId="5" borderId="11" xfId="0" applyFont="1" applyFill="1" applyBorder="1" applyAlignment="1">
      <alignment horizontal="center"/>
    </xf>
    <xf numFmtId="0" fontId="3" fillId="3" borderId="13" xfId="0" applyFont="1" applyFill="1" applyBorder="1" applyAlignment="1">
      <alignment horizontal="center"/>
    </xf>
    <xf numFmtId="0" fontId="3" fillId="3" borderId="17" xfId="0" applyFont="1" applyFill="1" applyBorder="1" applyAlignment="1">
      <alignment horizontal="center"/>
    </xf>
    <xf numFmtId="0" fontId="1" fillId="4" borderId="5" xfId="0" applyFont="1" applyFill="1" applyBorder="1" applyAlignment="1">
      <alignment horizontal="center"/>
    </xf>
  </cellXfs>
  <cellStyles count="4">
    <cellStyle name="Hyperlink" xfId="3" builtinId="8"/>
    <cellStyle name="Normal" xfId="0" builtinId="0"/>
    <cellStyle name="Normal 2" xfId="2"/>
    <cellStyle name="Normal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67236</xdr:colOff>
      <xdr:row>11</xdr:row>
      <xdr:rowOff>0</xdr:rowOff>
    </xdr:from>
    <xdr:to>
      <xdr:col>4</xdr:col>
      <xdr:colOff>537883</xdr:colOff>
      <xdr:row>12</xdr:row>
      <xdr:rowOff>29472</xdr:rowOff>
    </xdr:to>
    <xdr:sp macro="[0]!ComputeDailyFlowsForOneFuture" textlink="">
      <xdr:nvSpPr>
        <xdr:cNvPr id="8" name="Rectangle 7"/>
        <xdr:cNvSpPr/>
      </xdr:nvSpPr>
      <xdr:spPr>
        <a:xfrm>
          <a:off x="1772211" y="1876425"/>
          <a:ext cx="2299447" cy="239022"/>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Flows For One Future</a:t>
          </a:r>
        </a:p>
      </xdr:txBody>
    </xdr:sp>
    <xdr:clientData/>
  </xdr:twoCellAnchor>
  <xdr:twoCellAnchor>
    <xdr:from>
      <xdr:col>1</xdr:col>
      <xdr:colOff>67236</xdr:colOff>
      <xdr:row>11</xdr:row>
      <xdr:rowOff>0</xdr:rowOff>
    </xdr:from>
    <xdr:to>
      <xdr:col>4</xdr:col>
      <xdr:colOff>672353</xdr:colOff>
      <xdr:row>12</xdr:row>
      <xdr:rowOff>33618</xdr:rowOff>
    </xdr:to>
    <xdr:sp macro="[0]!ComputeDailyFlowsForOneFuture" textlink="">
      <xdr:nvSpPr>
        <xdr:cNvPr id="10" name="Rectangle 9"/>
        <xdr:cNvSpPr/>
      </xdr:nvSpPr>
      <xdr:spPr>
        <a:xfrm>
          <a:off x="1770530" y="1916206"/>
          <a:ext cx="2958352" cy="235324"/>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Flows For One Future</a:t>
          </a:r>
        </a:p>
      </xdr:txBody>
    </xdr:sp>
    <xdr:clientData/>
  </xdr:twoCellAnchor>
  <xdr:twoCellAnchor>
    <xdr:from>
      <xdr:col>5</xdr:col>
      <xdr:colOff>67236</xdr:colOff>
      <xdr:row>11</xdr:row>
      <xdr:rowOff>0</xdr:rowOff>
    </xdr:from>
    <xdr:to>
      <xdr:col>8</xdr:col>
      <xdr:colOff>537883</xdr:colOff>
      <xdr:row>12</xdr:row>
      <xdr:rowOff>29472</xdr:rowOff>
    </xdr:to>
    <xdr:sp macro="[0]!ComputeDailyFlowsForOneFuture" textlink="">
      <xdr:nvSpPr>
        <xdr:cNvPr id="11" name="Rectangle 10"/>
        <xdr:cNvSpPr/>
      </xdr:nvSpPr>
      <xdr:spPr>
        <a:xfrm>
          <a:off x="1770530" y="1916206"/>
          <a:ext cx="2655794" cy="231178"/>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Flows For One Future</a:t>
          </a:r>
        </a:p>
      </xdr:txBody>
    </xdr:sp>
    <xdr:clientData/>
  </xdr:twoCellAnchor>
  <xdr:twoCellAnchor>
    <xdr:from>
      <xdr:col>5</xdr:col>
      <xdr:colOff>67236</xdr:colOff>
      <xdr:row>10</xdr:row>
      <xdr:rowOff>156881</xdr:rowOff>
    </xdr:from>
    <xdr:to>
      <xdr:col>8</xdr:col>
      <xdr:colOff>728383</xdr:colOff>
      <xdr:row>12</xdr:row>
      <xdr:rowOff>44822</xdr:rowOff>
    </xdr:to>
    <xdr:sp macro="[0]!ComputeDailyFlowsFoAllFutures" textlink="">
      <xdr:nvSpPr>
        <xdr:cNvPr id="12" name="Rectangle 11"/>
        <xdr:cNvSpPr/>
      </xdr:nvSpPr>
      <xdr:spPr>
        <a:xfrm>
          <a:off x="4908177" y="1916205"/>
          <a:ext cx="3014382" cy="246529"/>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Flows For All Futures</a:t>
          </a:r>
        </a:p>
      </xdr:txBody>
    </xdr:sp>
    <xdr:clientData/>
  </xdr:twoCellAnchor>
  <xdr:twoCellAnchor>
    <xdr:from>
      <xdr:col>1</xdr:col>
      <xdr:colOff>67236</xdr:colOff>
      <xdr:row>14</xdr:row>
      <xdr:rowOff>0</xdr:rowOff>
    </xdr:from>
    <xdr:to>
      <xdr:col>4</xdr:col>
      <xdr:colOff>683559</xdr:colOff>
      <xdr:row>15</xdr:row>
      <xdr:rowOff>33618</xdr:rowOff>
    </xdr:to>
    <xdr:sp macro="[0]!PullDisaggregationFractions" textlink="">
      <xdr:nvSpPr>
        <xdr:cNvPr id="16" name="Rectangle 15"/>
        <xdr:cNvSpPr/>
      </xdr:nvSpPr>
      <xdr:spPr>
        <a:xfrm>
          <a:off x="1770530" y="2476500"/>
          <a:ext cx="2969558" cy="235324"/>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Pull Historic Disaggregation Fractions</a:t>
          </a:r>
        </a:p>
      </xdr:txBody>
    </xdr:sp>
    <xdr:clientData/>
  </xdr:twoCellAnchor>
  <xdr:twoCellAnchor>
    <xdr:from>
      <xdr:col>0</xdr:col>
      <xdr:colOff>112059</xdr:colOff>
      <xdr:row>14</xdr:row>
      <xdr:rowOff>1</xdr:rowOff>
    </xdr:from>
    <xdr:to>
      <xdr:col>0</xdr:col>
      <xdr:colOff>1658471</xdr:colOff>
      <xdr:row>15</xdr:row>
      <xdr:rowOff>33619</xdr:rowOff>
    </xdr:to>
    <xdr:sp macro="[0]!PullHistoricFlows" textlink="">
      <xdr:nvSpPr>
        <xdr:cNvPr id="17" name="Rectangle 16"/>
        <xdr:cNvSpPr/>
      </xdr:nvSpPr>
      <xdr:spPr>
        <a:xfrm>
          <a:off x="112059" y="2476501"/>
          <a:ext cx="1546412" cy="235324"/>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Pull Historic Flows</a:t>
          </a:r>
        </a:p>
      </xdr:txBody>
    </xdr:sp>
    <xdr:clientData/>
  </xdr:twoCellAnchor>
  <xdr:twoCellAnchor>
    <xdr:from>
      <xdr:col>5</xdr:col>
      <xdr:colOff>67236</xdr:colOff>
      <xdr:row>14</xdr:row>
      <xdr:rowOff>0</xdr:rowOff>
    </xdr:from>
    <xdr:to>
      <xdr:col>8</xdr:col>
      <xdr:colOff>537883</xdr:colOff>
      <xdr:row>15</xdr:row>
      <xdr:rowOff>29472</xdr:rowOff>
    </xdr:to>
    <xdr:sp macro="[0]!ComputeDailyFlowsForOneFuture" textlink="">
      <xdr:nvSpPr>
        <xdr:cNvPr id="18" name="Rectangle 17"/>
        <xdr:cNvSpPr/>
      </xdr:nvSpPr>
      <xdr:spPr>
        <a:xfrm>
          <a:off x="4684060" y="1916206"/>
          <a:ext cx="2655794" cy="231178"/>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Flows For One Future</a:t>
          </a:r>
        </a:p>
      </xdr:txBody>
    </xdr:sp>
    <xdr:clientData/>
  </xdr:twoCellAnchor>
  <xdr:twoCellAnchor>
    <xdr:from>
      <xdr:col>5</xdr:col>
      <xdr:colOff>67236</xdr:colOff>
      <xdr:row>14</xdr:row>
      <xdr:rowOff>0</xdr:rowOff>
    </xdr:from>
    <xdr:to>
      <xdr:col>8</xdr:col>
      <xdr:colOff>705971</xdr:colOff>
      <xdr:row>15</xdr:row>
      <xdr:rowOff>33618</xdr:rowOff>
    </xdr:to>
    <xdr:sp macro="[0]!ComputeOneVICDisaggFractions" textlink="">
      <xdr:nvSpPr>
        <xdr:cNvPr id="19" name="Rectangle 18"/>
        <xdr:cNvSpPr/>
      </xdr:nvSpPr>
      <xdr:spPr>
        <a:xfrm>
          <a:off x="4908177" y="2476500"/>
          <a:ext cx="2991970" cy="235324"/>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Compute VIC Disaggregation Fractions</a:t>
          </a:r>
        </a:p>
      </xdr:txBody>
    </xdr:sp>
    <xdr:clientData/>
  </xdr:twoCellAnchor>
  <xdr:twoCellAnchor>
    <xdr:from>
      <xdr:col>0</xdr:col>
      <xdr:colOff>89647</xdr:colOff>
      <xdr:row>11</xdr:row>
      <xdr:rowOff>11206</xdr:rowOff>
    </xdr:from>
    <xdr:to>
      <xdr:col>0</xdr:col>
      <xdr:colOff>1624852</xdr:colOff>
      <xdr:row>12</xdr:row>
      <xdr:rowOff>11206</xdr:rowOff>
    </xdr:to>
    <xdr:sp macro="[0]!OpenWorkbooks" textlink="">
      <xdr:nvSpPr>
        <xdr:cNvPr id="21" name="Rectangle 20"/>
        <xdr:cNvSpPr/>
      </xdr:nvSpPr>
      <xdr:spPr>
        <a:xfrm>
          <a:off x="89647" y="1927412"/>
          <a:ext cx="1535205" cy="201706"/>
        </a:xfrm>
        <a:prstGeom prst="rect">
          <a:avLst/>
        </a:prstGeom>
        <a:solidFill>
          <a:srgbClr val="4F81BD"/>
        </a:solidFill>
        <a:ln w="25400" cap="flat" cmpd="sng" algn="ctr">
          <a:solidFill>
            <a:srgbClr val="4F81BD">
              <a:shade val="50000"/>
            </a:srgbClr>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300" b="1" i="0" u="none" strike="noStrike" kern="0" cap="none" spc="0" normalizeH="0" baseline="0" noProof="0">
              <a:ln>
                <a:noFill/>
              </a:ln>
              <a:solidFill>
                <a:sysClr val="window" lastClr="FFFFFF"/>
              </a:solidFill>
              <a:effectLst/>
              <a:uLnTx/>
              <a:uFillTx/>
              <a:latin typeface="Calibri"/>
            </a:rPr>
            <a:t>Open Workbooks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4058927</xdr:colOff>
      <xdr:row>1</xdr:row>
      <xdr:rowOff>4867274</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571500"/>
          <a:ext cx="4058927" cy="48672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J22"/>
  <sheetViews>
    <sheetView tabSelected="1" zoomScale="85" zoomScaleNormal="85" workbookViewId="0">
      <selection activeCell="J8" sqref="J8"/>
    </sheetView>
  </sheetViews>
  <sheetFormatPr defaultRowHeight="12.75" x14ac:dyDescent="0.2"/>
  <cols>
    <col min="1" max="1" width="25.5703125" customWidth="1"/>
    <col min="2" max="9" width="11.7109375" customWidth="1"/>
    <col min="10" max="10" width="22.85546875" customWidth="1"/>
  </cols>
  <sheetData>
    <row r="1" spans="1:10" ht="16.5" thickBot="1" x14ac:dyDescent="0.3">
      <c r="A1" s="47" t="s">
        <v>49</v>
      </c>
      <c r="B1" s="48"/>
      <c r="C1" s="48"/>
      <c r="D1" s="48"/>
      <c r="E1" s="48"/>
      <c r="F1" s="48"/>
      <c r="G1" s="48"/>
      <c r="H1" s="48"/>
      <c r="I1" s="48"/>
    </row>
    <row r="2" spans="1:10" ht="15" x14ac:dyDescent="0.25">
      <c r="A2" s="4" t="s">
        <v>15</v>
      </c>
      <c r="B2" s="4" t="s">
        <v>2</v>
      </c>
      <c r="C2" s="5">
        <v>1950</v>
      </c>
      <c r="D2" s="4" t="s">
        <v>3</v>
      </c>
      <c r="E2" s="5">
        <v>1999</v>
      </c>
      <c r="G2" s="49" t="s">
        <v>18</v>
      </c>
      <c r="H2" s="50"/>
      <c r="I2" s="6" t="s">
        <v>14</v>
      </c>
      <c r="J2" s="6" t="s">
        <v>45</v>
      </c>
    </row>
    <row r="3" spans="1:10" x14ac:dyDescent="0.2">
      <c r="A3" s="1" t="s">
        <v>10</v>
      </c>
      <c r="B3" s="32" t="s">
        <v>4</v>
      </c>
      <c r="C3" s="33"/>
      <c r="D3" s="33"/>
      <c r="E3" s="34"/>
      <c r="G3" s="44">
        <v>2030</v>
      </c>
      <c r="H3" s="46"/>
      <c r="I3" s="7" t="b">
        <v>1</v>
      </c>
      <c r="J3" s="28" t="s">
        <v>46</v>
      </c>
    </row>
    <row r="4" spans="1:10" x14ac:dyDescent="0.2">
      <c r="A4" s="1" t="s">
        <v>11</v>
      </c>
      <c r="B4" s="32" t="s">
        <v>1</v>
      </c>
      <c r="C4" s="33"/>
      <c r="D4" s="33"/>
      <c r="E4" s="34"/>
      <c r="G4" s="44">
        <v>2070</v>
      </c>
      <c r="H4" s="46"/>
      <c r="I4" s="7" t="b">
        <v>1</v>
      </c>
    </row>
    <row r="5" spans="1:10" x14ac:dyDescent="0.2">
      <c r="A5" s="1" t="s">
        <v>5</v>
      </c>
      <c r="B5" s="32" t="s">
        <v>50</v>
      </c>
      <c r="C5" s="33"/>
      <c r="D5" s="33"/>
      <c r="E5" s="34"/>
      <c r="G5" s="51">
        <v>2080</v>
      </c>
      <c r="H5" s="46"/>
      <c r="I5" s="7" t="b">
        <v>0</v>
      </c>
    </row>
    <row r="6" spans="1:10" ht="15" x14ac:dyDescent="0.25">
      <c r="A6" s="1" t="s">
        <v>6</v>
      </c>
      <c r="B6" s="32" t="s">
        <v>51</v>
      </c>
      <c r="C6" s="33"/>
      <c r="D6" s="33"/>
      <c r="E6" s="34"/>
      <c r="F6" s="35" t="s">
        <v>13</v>
      </c>
      <c r="G6" s="36"/>
      <c r="H6" s="36"/>
      <c r="I6" s="37"/>
    </row>
    <row r="7" spans="1:10" ht="15" x14ac:dyDescent="0.25">
      <c r="A7" s="1" t="s">
        <v>7</v>
      </c>
      <c r="B7" s="32" t="s">
        <v>52</v>
      </c>
      <c r="C7" s="33"/>
      <c r="D7" s="33"/>
      <c r="E7" s="34"/>
      <c r="F7" s="41" t="s">
        <v>16</v>
      </c>
      <c r="G7" s="42"/>
      <c r="H7" s="42"/>
      <c r="I7" s="43"/>
    </row>
    <row r="8" spans="1:10" ht="15" x14ac:dyDescent="0.25">
      <c r="A8" s="1" t="s">
        <v>8</v>
      </c>
      <c r="B8" s="32" t="s">
        <v>53</v>
      </c>
      <c r="C8" s="33"/>
      <c r="D8" s="33"/>
      <c r="E8" s="34"/>
      <c r="F8" s="41" t="s">
        <v>17</v>
      </c>
      <c r="G8" s="42"/>
      <c r="H8" s="42"/>
      <c r="I8" s="43"/>
    </row>
    <row r="9" spans="1:10" x14ac:dyDescent="0.2">
      <c r="A9" s="1" t="s">
        <v>9</v>
      </c>
      <c r="B9" s="32" t="s">
        <v>0</v>
      </c>
      <c r="C9" s="33"/>
      <c r="D9" s="33"/>
      <c r="E9" s="34"/>
      <c r="F9" s="32" t="s">
        <v>28</v>
      </c>
      <c r="G9" s="33"/>
      <c r="H9" s="33"/>
      <c r="I9" s="34"/>
    </row>
    <row r="10" spans="1:10" x14ac:dyDescent="0.2">
      <c r="A10" s="13" t="s">
        <v>27</v>
      </c>
      <c r="B10" s="44" t="s">
        <v>11</v>
      </c>
      <c r="C10" s="45"/>
      <c r="D10" s="45"/>
      <c r="E10" s="46"/>
      <c r="F10" s="44">
        <v>2030</v>
      </c>
      <c r="G10" s="45"/>
      <c r="H10" s="45"/>
      <c r="I10" s="46"/>
    </row>
    <row r="11" spans="1:10" ht="12.75" customHeight="1" x14ac:dyDescent="0.25">
      <c r="A11" s="25"/>
      <c r="B11" s="16"/>
      <c r="C11" s="17"/>
      <c r="D11" s="17"/>
      <c r="E11" s="18"/>
      <c r="F11" s="16"/>
      <c r="G11" s="17"/>
      <c r="H11" s="17"/>
      <c r="I11" s="18"/>
      <c r="J11" s="2"/>
    </row>
    <row r="12" spans="1:10" ht="15.75" x14ac:dyDescent="0.25">
      <c r="A12" s="26"/>
      <c r="B12" s="19"/>
      <c r="C12" s="20"/>
      <c r="D12" s="20"/>
      <c r="E12" s="21"/>
      <c r="F12" s="19"/>
      <c r="G12" s="20"/>
      <c r="H12" s="20"/>
      <c r="I12" s="21"/>
      <c r="J12" s="12" t="s">
        <v>26</v>
      </c>
    </row>
    <row r="13" spans="1:10" ht="12.75" customHeight="1" x14ac:dyDescent="0.25">
      <c r="A13" s="27"/>
      <c r="B13" s="22"/>
      <c r="C13" s="23"/>
      <c r="D13" s="23"/>
      <c r="E13" s="24"/>
      <c r="F13" s="22"/>
      <c r="G13" s="23"/>
      <c r="H13" s="23"/>
      <c r="I13" s="24"/>
      <c r="J13" s="2"/>
    </row>
    <row r="14" spans="1:10" ht="15.75" x14ac:dyDescent="0.25">
      <c r="A14" s="25"/>
      <c r="B14" s="16"/>
      <c r="C14" s="17"/>
      <c r="D14" s="17"/>
      <c r="E14" s="18"/>
      <c r="F14" s="16"/>
      <c r="G14" s="17"/>
      <c r="H14" s="17"/>
      <c r="I14" s="18"/>
      <c r="J14" s="2"/>
    </row>
    <row r="15" spans="1:10" ht="15.75" x14ac:dyDescent="0.25">
      <c r="A15" s="26"/>
      <c r="B15" s="19"/>
      <c r="C15" s="20"/>
      <c r="D15" s="20"/>
      <c r="E15" s="21"/>
      <c r="F15" s="19"/>
      <c r="G15" s="20"/>
      <c r="H15" s="20"/>
      <c r="I15" s="21"/>
      <c r="J15" s="2"/>
    </row>
    <row r="16" spans="1:10" ht="15.75" x14ac:dyDescent="0.25">
      <c r="A16" s="27"/>
      <c r="B16" s="22"/>
      <c r="C16" s="23"/>
      <c r="D16" s="23"/>
      <c r="E16" s="24"/>
      <c r="F16" s="22"/>
      <c r="G16" s="23"/>
      <c r="H16" s="23"/>
      <c r="I16" s="24"/>
      <c r="J16" s="2"/>
    </row>
    <row r="17" spans="1:9" x14ac:dyDescent="0.2">
      <c r="A17" s="2"/>
      <c r="B17" s="2"/>
      <c r="C17" s="2"/>
      <c r="D17" s="2"/>
      <c r="E17" s="2"/>
      <c r="F17" s="2"/>
    </row>
    <row r="18" spans="1:9" ht="15.75" x14ac:dyDescent="0.25">
      <c r="A18" s="8" t="s">
        <v>12</v>
      </c>
      <c r="B18" s="38" t="s">
        <v>19</v>
      </c>
      <c r="C18" s="39"/>
      <c r="D18" s="39"/>
      <c r="E18" s="39"/>
      <c r="F18" s="39"/>
      <c r="G18" s="39"/>
      <c r="H18" s="39"/>
      <c r="I18" s="40"/>
    </row>
    <row r="19" spans="1:9" ht="15" x14ac:dyDescent="0.25">
      <c r="A19" s="3" t="s">
        <v>20</v>
      </c>
      <c r="B19" s="29" t="s">
        <v>29</v>
      </c>
      <c r="C19" s="30"/>
      <c r="D19" s="30"/>
      <c r="E19" s="30"/>
      <c r="F19" s="30"/>
      <c r="G19" s="30"/>
      <c r="H19" s="30"/>
      <c r="I19" s="31"/>
    </row>
    <row r="20" spans="1:9" ht="15" x14ac:dyDescent="0.25">
      <c r="A20" s="3" t="s">
        <v>22</v>
      </c>
      <c r="B20" s="29" t="str">
        <f>"C:\fieldprojects\KlamathBasin\data\climatechange\"&amp;J3&amp;"\"</f>
        <v>C:\fieldprojects\KlamathBasin\data\climatechange\CMIP3\</v>
      </c>
      <c r="C20" s="30"/>
      <c r="D20" s="30"/>
      <c r="E20" s="30"/>
      <c r="F20" s="30"/>
      <c r="G20" s="30"/>
      <c r="H20" s="30"/>
      <c r="I20" s="31"/>
    </row>
    <row r="21" spans="1:9" ht="15" x14ac:dyDescent="0.25">
      <c r="A21" s="3" t="s">
        <v>30</v>
      </c>
      <c r="B21" s="29" t="s">
        <v>54</v>
      </c>
      <c r="C21" s="30"/>
      <c r="D21" s="30"/>
      <c r="E21" s="30"/>
      <c r="F21" s="30"/>
      <c r="G21" s="30"/>
      <c r="H21" s="30"/>
      <c r="I21" s="31"/>
    </row>
    <row r="22" spans="1:9" ht="15" x14ac:dyDescent="0.25">
      <c r="A22" s="3" t="s">
        <v>21</v>
      </c>
      <c r="B22" s="29" t="s">
        <v>44</v>
      </c>
      <c r="C22" s="30"/>
      <c r="D22" s="30"/>
      <c r="E22" s="30"/>
      <c r="F22" s="30"/>
      <c r="G22" s="30"/>
      <c r="H22" s="30"/>
      <c r="I22" s="31"/>
    </row>
  </sheetData>
  <mergeCells count="23">
    <mergeCell ref="F9:I9"/>
    <mergeCell ref="F10:I10"/>
    <mergeCell ref="A1:I1"/>
    <mergeCell ref="G2:H2"/>
    <mergeCell ref="G3:H3"/>
    <mergeCell ref="G4:H4"/>
    <mergeCell ref="G5:H5"/>
    <mergeCell ref="B21:I21"/>
    <mergeCell ref="B22:I22"/>
    <mergeCell ref="B3:E3"/>
    <mergeCell ref="B4:E4"/>
    <mergeCell ref="B5:E5"/>
    <mergeCell ref="B6:E6"/>
    <mergeCell ref="F6:I6"/>
    <mergeCell ref="B19:I19"/>
    <mergeCell ref="B20:I20"/>
    <mergeCell ref="B7:E7"/>
    <mergeCell ref="B8:E8"/>
    <mergeCell ref="B9:E9"/>
    <mergeCell ref="B18:I18"/>
    <mergeCell ref="F7:I7"/>
    <mergeCell ref="F8:I8"/>
    <mergeCell ref="B10:E10"/>
  </mergeCells>
  <dataValidations count="4">
    <dataValidation type="list" allowBlank="1" showInputMessage="1" showErrorMessage="1" sqref="B10">
      <formula1>$A$4:$A$9</formula1>
    </dataValidation>
    <dataValidation type="list" allowBlank="1" showInputMessage="1" showErrorMessage="1" sqref="F10:I10">
      <formula1>$G$3:$G$5</formula1>
    </dataValidation>
    <dataValidation type="list" allowBlank="1" showInputMessage="1" showErrorMessage="1" sqref="I3:I5">
      <formula1>"True,False"</formula1>
    </dataValidation>
    <dataValidation type="list" allowBlank="1" showInputMessage="1" showErrorMessage="1" sqref="J3">
      <formula1>"CMIP3,CMIP5"</formula1>
    </dataValidation>
  </dataValidations>
  <hyperlinks>
    <hyperlink ref="J12" location="Instructions!A1" display="Instructions --&gt;"/>
  </hyperlinks>
  <pageMargins left="0.7" right="0.7" top="0.75" bottom="0.75" header="0.3" footer="0.3"/>
  <pageSetup scale="64"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
  <sheetViews>
    <sheetView zoomScaleNormal="100" workbookViewId="0">
      <pane ySplit="1" topLeftCell="A2" activePane="bottomLeft" state="frozen"/>
      <selection pane="bottomLeft" activeCell="A2" sqref="A2"/>
    </sheetView>
  </sheetViews>
  <sheetFormatPr defaultRowHeight="12.75" x14ac:dyDescent="0.2"/>
  <cols>
    <col min="1" max="1" width="10.28515625" customWidth="1"/>
    <col min="2" max="2" width="9.28515625" customWidth="1"/>
    <col min="3" max="6" width="10.7109375" customWidth="1"/>
    <col min="7" max="7" width="46.85546875" customWidth="1"/>
  </cols>
  <sheetData>
    <row r="1" spans="1:7" ht="25.5" x14ac:dyDescent="0.2">
      <c r="A1" s="14" t="s">
        <v>42</v>
      </c>
      <c r="B1" s="14" t="s">
        <v>32</v>
      </c>
      <c r="C1" s="14" t="s">
        <v>43</v>
      </c>
      <c r="D1" s="14" t="s">
        <v>41</v>
      </c>
      <c r="E1" s="14" t="s">
        <v>34</v>
      </c>
      <c r="F1" s="15" t="s">
        <v>33</v>
      </c>
      <c r="G1" s="14" t="s">
        <v>31</v>
      </c>
    </row>
    <row r="2" spans="1:7" x14ac:dyDescent="0.2">
      <c r="A2">
        <v>2030</v>
      </c>
      <c r="B2" t="s">
        <v>11</v>
      </c>
      <c r="C2">
        <v>2030</v>
      </c>
      <c r="D2" s="14" t="s">
        <v>47</v>
      </c>
      <c r="E2" s="14" t="s">
        <v>35</v>
      </c>
      <c r="F2" t="str">
        <f>A2&amp;B2</f>
        <v>2030S0</v>
      </c>
      <c r="G2" s="14" t="str">
        <f>Setup!$J$3&amp;"\"&amp;"streamflow_kbs_maurer\"</f>
        <v>CMIP3\streamflow_kbs_maurer\</v>
      </c>
    </row>
    <row r="3" spans="1:7" x14ac:dyDescent="0.2">
      <c r="A3">
        <v>2030</v>
      </c>
      <c r="B3" t="s">
        <v>5</v>
      </c>
      <c r="C3">
        <v>2030</v>
      </c>
      <c r="D3" s="14" t="s">
        <v>47</v>
      </c>
      <c r="E3" s="14" t="s">
        <v>36</v>
      </c>
      <c r="F3" t="str">
        <f t="shared" ref="F3:F13" si="0">A3&amp;B3</f>
        <v>2030S1</v>
      </c>
      <c r="G3" t="str">
        <f>Setup!$J$3&amp;"\"&amp;E3&amp;"_"&amp;C3&amp;"_"&amp;D3&amp;"\streamflow\"</f>
        <v>CMIP3\warmdry_2030_2020-2049\streamflow\</v>
      </c>
    </row>
    <row r="4" spans="1:7" x14ac:dyDescent="0.2">
      <c r="A4">
        <v>2030</v>
      </c>
      <c r="B4" t="s">
        <v>6</v>
      </c>
      <c r="C4">
        <v>2030</v>
      </c>
      <c r="D4" s="14" t="s">
        <v>47</v>
      </c>
      <c r="E4" s="14" t="s">
        <v>37</v>
      </c>
      <c r="F4" t="str">
        <f t="shared" si="0"/>
        <v>2030S2</v>
      </c>
      <c r="G4" t="str">
        <f>Setup!$J$3&amp;"\"&amp;E4&amp;"_"&amp;C4&amp;"_"&amp;D4&amp;"\streamflow\"</f>
        <v>CMIP3\warmwet_2030_2020-2049\streamflow\</v>
      </c>
    </row>
    <row r="5" spans="1:7" x14ac:dyDescent="0.2">
      <c r="A5">
        <v>2030</v>
      </c>
      <c r="B5" t="s">
        <v>7</v>
      </c>
      <c r="C5">
        <v>2030</v>
      </c>
      <c r="D5" s="14" t="s">
        <v>47</v>
      </c>
      <c r="E5" s="14" t="s">
        <v>38</v>
      </c>
      <c r="F5" t="str">
        <f t="shared" si="0"/>
        <v>2030S3</v>
      </c>
      <c r="G5" t="str">
        <f>Setup!$J$3&amp;"\"&amp;E5&amp;"_"&amp;C5&amp;"_"&amp;D5&amp;"\streamflow\"</f>
        <v>CMIP3\hotdry_2030_2020-2049\streamflow\</v>
      </c>
    </row>
    <row r="6" spans="1:7" x14ac:dyDescent="0.2">
      <c r="A6">
        <v>2030</v>
      </c>
      <c r="B6" t="s">
        <v>8</v>
      </c>
      <c r="C6">
        <v>2030</v>
      </c>
      <c r="D6" s="14" t="s">
        <v>47</v>
      </c>
      <c r="E6" s="14" t="s">
        <v>39</v>
      </c>
      <c r="F6" t="str">
        <f t="shared" si="0"/>
        <v>2030S4</v>
      </c>
      <c r="G6" t="str">
        <f>Setup!$J$3&amp;"\"&amp;E6&amp;"_"&amp;C6&amp;"_"&amp;D6&amp;"\streamflow\"</f>
        <v>CMIP3\hotwet_2030_2020-2049\streamflow\</v>
      </c>
    </row>
    <row r="7" spans="1:7" x14ac:dyDescent="0.2">
      <c r="A7">
        <v>2030</v>
      </c>
      <c r="B7" t="s">
        <v>9</v>
      </c>
      <c r="C7">
        <v>2030</v>
      </c>
      <c r="D7" s="14" t="s">
        <v>47</v>
      </c>
      <c r="E7" s="14" t="s">
        <v>40</v>
      </c>
      <c r="F7" t="str">
        <f t="shared" si="0"/>
        <v>2030S5</v>
      </c>
      <c r="G7" t="str">
        <f>Setup!$J$3&amp;"\"&amp;E7&amp;"_"&amp;C7&amp;"_"&amp;D7&amp;"\streamflow\"</f>
        <v>CMIP3\central_2030_2020-2049\streamflow\</v>
      </c>
    </row>
    <row r="8" spans="1:7" x14ac:dyDescent="0.2">
      <c r="A8">
        <v>2070</v>
      </c>
      <c r="B8" t="s">
        <v>11</v>
      </c>
      <c r="C8">
        <v>2070</v>
      </c>
      <c r="D8" s="14" t="s">
        <v>48</v>
      </c>
      <c r="E8" s="14" t="s">
        <v>35</v>
      </c>
      <c r="F8" t="str">
        <f t="shared" si="0"/>
        <v>2070S0</v>
      </c>
      <c r="G8" t="str">
        <f>Setup!$J$3&amp;"\"&amp;E8&amp;"_"&amp;C8&amp;"_"&amp;D8&amp;"\streamflow\"</f>
        <v>CMIP3\Maurer_2070_2030-2059\streamflow\</v>
      </c>
    </row>
    <row r="9" spans="1:7" x14ac:dyDescent="0.2">
      <c r="A9">
        <v>2070</v>
      </c>
      <c r="B9" t="s">
        <v>5</v>
      </c>
      <c r="C9">
        <v>2070</v>
      </c>
      <c r="D9" s="14" t="s">
        <v>48</v>
      </c>
      <c r="E9" s="14" t="s">
        <v>36</v>
      </c>
      <c r="F9" t="str">
        <f t="shared" si="0"/>
        <v>2070S1</v>
      </c>
      <c r="G9" t="str">
        <f>Setup!$J$3&amp;"\"&amp;E9&amp;"_"&amp;C9&amp;"_"&amp;D9&amp;"\streamflow\"</f>
        <v>CMIP3\warmdry_2070_2030-2059\streamflow\</v>
      </c>
    </row>
    <row r="10" spans="1:7" x14ac:dyDescent="0.2">
      <c r="A10">
        <v>2070</v>
      </c>
      <c r="B10" t="s">
        <v>6</v>
      </c>
      <c r="C10">
        <v>2070</v>
      </c>
      <c r="D10" s="14" t="s">
        <v>48</v>
      </c>
      <c r="E10" s="14" t="s">
        <v>37</v>
      </c>
      <c r="F10" t="str">
        <f t="shared" si="0"/>
        <v>2070S2</v>
      </c>
      <c r="G10" t="str">
        <f>Setup!$J$3&amp;"\"&amp;E10&amp;"_"&amp;C10&amp;"_"&amp;D10&amp;"\streamflow\"</f>
        <v>CMIP3\warmwet_2070_2030-2059\streamflow\</v>
      </c>
    </row>
    <row r="11" spans="1:7" x14ac:dyDescent="0.2">
      <c r="A11">
        <v>2070</v>
      </c>
      <c r="B11" t="s">
        <v>7</v>
      </c>
      <c r="C11">
        <v>2070</v>
      </c>
      <c r="D11" s="14" t="s">
        <v>48</v>
      </c>
      <c r="E11" s="14" t="s">
        <v>38</v>
      </c>
      <c r="F11" t="str">
        <f t="shared" si="0"/>
        <v>2070S3</v>
      </c>
      <c r="G11" t="str">
        <f>Setup!$J$3&amp;"\"&amp;E11&amp;"_"&amp;C11&amp;"_"&amp;D11&amp;"\streamflow\"</f>
        <v>CMIP3\hotdry_2070_2030-2059\streamflow\</v>
      </c>
    </row>
    <row r="12" spans="1:7" x14ac:dyDescent="0.2">
      <c r="A12">
        <v>2070</v>
      </c>
      <c r="B12" t="s">
        <v>8</v>
      </c>
      <c r="C12">
        <v>2070</v>
      </c>
      <c r="D12" s="14" t="s">
        <v>48</v>
      </c>
      <c r="E12" s="14" t="s">
        <v>39</v>
      </c>
      <c r="F12" t="str">
        <f t="shared" si="0"/>
        <v>2070S4</v>
      </c>
      <c r="G12" t="str">
        <f>Setup!$J$3&amp;"\"&amp;E12&amp;"_"&amp;C12&amp;"_"&amp;D12&amp;"\streamflow\"</f>
        <v>CMIP3\hotwet_2070_2030-2059\streamflow\</v>
      </c>
    </row>
    <row r="13" spans="1:7" x14ac:dyDescent="0.2">
      <c r="A13">
        <v>2070</v>
      </c>
      <c r="B13" t="s">
        <v>9</v>
      </c>
      <c r="C13">
        <v>2070</v>
      </c>
      <c r="D13" s="14" t="s">
        <v>48</v>
      </c>
      <c r="E13" s="14" t="s">
        <v>40</v>
      </c>
      <c r="F13" t="str">
        <f t="shared" si="0"/>
        <v>2070S5</v>
      </c>
      <c r="G13" t="str">
        <f>Setup!$J$3&amp;"\"&amp;E13&amp;"_"&amp;C13&amp;"_"&amp;D13&amp;"\streamflow\"</f>
        <v>CMIP3\central_2070_2030-2059\streamflow\</v>
      </c>
    </row>
  </sheetData>
  <pageMargins left="0.7" right="0.7" top="0.75" bottom="0.75" header="0.3" footer="0.3"/>
  <pageSetup scale="9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election activeCell="A6" sqref="A6"/>
    </sheetView>
  </sheetViews>
  <sheetFormatPr defaultRowHeight="12.75" x14ac:dyDescent="0.2"/>
  <cols>
    <col min="1" max="1" width="114.7109375" customWidth="1"/>
  </cols>
  <sheetData>
    <row r="1" spans="1:1" ht="45" x14ac:dyDescent="0.25">
      <c r="A1" s="9" t="s">
        <v>23</v>
      </c>
    </row>
    <row r="2" spans="1:1" ht="389.25" customHeight="1" x14ac:dyDescent="0.2">
      <c r="A2" s="10"/>
    </row>
    <row r="3" spans="1:1" ht="15.75" x14ac:dyDescent="0.2">
      <c r="A3" s="11" t="s">
        <v>24</v>
      </c>
    </row>
    <row r="4" spans="1:1" ht="15" x14ac:dyDescent="0.2">
      <c r="A4" s="10"/>
    </row>
    <row r="5" spans="1:1" ht="15" x14ac:dyDescent="0.2">
      <c r="A5" s="10" t="s">
        <v>25</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Setup</vt:lpstr>
      <vt:lpstr>FuturesMap</vt:lpstr>
      <vt:lpstr>Instructions</vt:lpstr>
    </vt:vector>
  </TitlesOfParts>
  <Company>Department of the Interior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Levi Brekke</dc:creator>
  <cp:lastModifiedBy>King, David L</cp:lastModifiedBy>
  <cp:lastPrinted>2015-04-21T19:42:29Z</cp:lastPrinted>
  <dcterms:created xsi:type="dcterms:W3CDTF">2007-10-09T16:51:27Z</dcterms:created>
  <dcterms:modified xsi:type="dcterms:W3CDTF">2016-01-11T15:17:59Z</dcterms:modified>
</cp:coreProperties>
</file>