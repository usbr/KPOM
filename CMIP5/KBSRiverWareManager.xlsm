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85" yWindow="240" windowWidth="19560" windowHeight="10035" tabRatio="945"/>
  </bookViews>
  <sheets>
    <sheet name="Setup" sheetId="48" r:id="rId1"/>
    <sheet name="RWControl" sheetId="50" r:id="rId2"/>
    <sheet name="Instructions" sheetId="51" r:id="rId3"/>
  </sheets>
  <functionGroups builtInGroupCount="17"/>
  <definedNames>
    <definedName name="_xlnm.Print_Area" localSheetId="2">Instructions!$A$1:$D$43</definedName>
  </definedNames>
  <calcPr calcId="145621" calcMode="manual"/>
</workbook>
</file>

<file path=xl/calcChain.xml><?xml version="1.0" encoding="utf-8"?>
<calcChain xmlns="http://schemas.openxmlformats.org/spreadsheetml/2006/main">
  <c r="B16" i="50" l="1"/>
  <c r="B15" i="50"/>
  <c r="B3" i="50"/>
  <c r="C16" i="50"/>
  <c r="B14" i="50" l="1"/>
  <c r="B11" i="50" l="1"/>
  <c r="B10" i="50"/>
  <c r="B9" i="50"/>
  <c r="B8" i="50"/>
  <c r="C10" i="50"/>
  <c r="B7" i="50" l="1"/>
  <c r="C7" i="50"/>
  <c r="B6" i="50" l="1"/>
  <c r="B13" i="50" l="1"/>
  <c r="B12" i="50"/>
  <c r="B5" i="50"/>
  <c r="C6" i="50" l="1"/>
  <c r="C14" i="50" l="1"/>
  <c r="C8" i="50"/>
  <c r="C5" i="50"/>
  <c r="B4" i="50"/>
  <c r="A2" i="50" l="1"/>
  <c r="A1" i="50"/>
</calcChain>
</file>

<file path=xl/comments1.xml><?xml version="1.0" encoding="utf-8"?>
<comments xmlns="http://schemas.openxmlformats.org/spreadsheetml/2006/main">
  <authors>
    <author>Dave King</author>
  </authors>
  <commentList>
    <comment ref="B11" authorId="0">
      <text>
        <r>
          <rPr>
            <sz val="9"/>
            <color indexed="81"/>
            <rFont val="Tahoma"/>
            <family val="2"/>
          </rPr>
          <t>Set specifications using prompts and file navigation.</t>
        </r>
      </text>
    </comment>
    <comment ref="F11" authorId="0">
      <text>
        <r>
          <rPr>
            <sz val="9"/>
            <color indexed="81"/>
            <rFont val="Tahoma"/>
            <family val="2"/>
          </rPr>
          <t>Run RiverWare using historic data.</t>
        </r>
      </text>
    </comment>
    <comment ref="B14" authorId="0">
      <text>
        <r>
          <rPr>
            <sz val="9"/>
            <color indexed="81"/>
            <rFont val="Tahoma"/>
            <family val="2"/>
          </rPr>
          <t>Run RiverWare for scenario specified in cell A12 and future in cell A14.</t>
        </r>
      </text>
    </comment>
    <comment ref="A17" authorId="0">
      <text>
        <r>
          <rPr>
            <sz val="9"/>
            <color indexed="81"/>
            <rFont val="Tahoma"/>
            <family val="2"/>
          </rPr>
          <t>Specify RiverWare executable path.</t>
        </r>
      </text>
    </comment>
    <comment ref="B17" authorId="0">
      <text>
        <r>
          <rPr>
            <sz val="9"/>
            <color indexed="81"/>
            <rFont val="Tahoma"/>
            <family val="2"/>
          </rPr>
          <t>Run RiverWare for all scenraios and futures marked 'True' in cells I4, I5, and I6.</t>
        </r>
      </text>
    </comment>
    <comment ref="A22" authorId="0">
      <text>
        <r>
          <rPr>
            <sz val="9"/>
            <color indexed="81"/>
            <rFont val="Tahoma"/>
            <family val="2"/>
          </rPr>
          <t>Folder where frost dates and crops reports workbooks exist. This is usually where the application is installed.</t>
        </r>
      </text>
    </comment>
    <comment ref="A23" authorId="0">
      <text>
        <r>
          <rPr>
            <sz val="9"/>
            <color indexed="81"/>
            <rFont val="Tahoma"/>
            <family val="2"/>
          </rPr>
          <t>Folder where climate change depletions exist.</t>
        </r>
      </text>
    </comment>
    <comment ref="A24" authorId="0">
      <text>
        <r>
          <rPr>
            <sz val="9"/>
            <color indexed="81"/>
            <rFont val="Tahoma"/>
            <family val="2"/>
          </rPr>
          <t>Prefix on water user depletion files.</t>
        </r>
      </text>
    </comment>
    <comment ref="A25" authorId="0">
      <text>
        <r>
          <rPr>
            <sz val="9"/>
            <color indexed="81"/>
            <rFont val="Tahoma"/>
            <family val="2"/>
          </rPr>
          <t>Prefix on water user depletion files.</t>
        </r>
      </text>
    </comment>
    <comment ref="A26" authorId="0">
      <text>
        <r>
          <rPr>
            <sz val="9"/>
            <color indexed="81"/>
            <rFont val="Tahoma"/>
            <family val="2"/>
          </rPr>
          <t xml:space="preserve">Prefix of evaporation files. </t>
        </r>
      </text>
    </comment>
    <comment ref="A27" authorId="0">
      <text>
        <r>
          <rPr>
            <sz val="9"/>
            <color indexed="81"/>
            <rFont val="Tahoma"/>
            <family val="2"/>
          </rPr>
          <t xml:space="preserve">Prefix of evaporation files. </t>
        </r>
      </text>
    </comment>
    <comment ref="A28" authorId="0">
      <text>
        <r>
          <rPr>
            <sz val="9"/>
            <color indexed="81"/>
            <rFont val="Tahoma"/>
            <family val="2"/>
          </rPr>
          <t>Folder where RiverWare input and output workbooks exist.</t>
        </r>
      </text>
    </comment>
    <comment ref="A29" authorId="0">
      <text>
        <r>
          <rPr>
            <sz val="9"/>
            <color indexed="81"/>
            <rFont val="Tahoma"/>
            <family val="2"/>
          </rPr>
          <t>RiverWare model used as base for scenarios.</t>
        </r>
      </text>
    </comment>
    <comment ref="A30" authorId="0">
      <text>
        <r>
          <rPr>
            <sz val="9"/>
            <color indexed="81"/>
            <rFont val="Tahoma"/>
            <family val="2"/>
          </rPr>
          <t>RiverWare ruleset used for all scenarios.</t>
        </r>
      </text>
    </comment>
  </commentList>
</comments>
</file>

<file path=xl/sharedStrings.xml><?xml version="1.0" encoding="utf-8"?>
<sst xmlns="http://schemas.openxmlformats.org/spreadsheetml/2006/main" count="124" uniqueCount="104">
  <si>
    <t>Central</t>
  </si>
  <si>
    <t>Observed</t>
  </si>
  <si>
    <t>Start Year</t>
  </si>
  <si>
    <t>End Year</t>
  </si>
  <si>
    <t>Climate Change Scenario</t>
  </si>
  <si>
    <t>S1</t>
  </si>
  <si>
    <t>S2</t>
  </si>
  <si>
    <t>S3</t>
  </si>
  <si>
    <t>S4</t>
  </si>
  <si>
    <t>S5</t>
  </si>
  <si>
    <t>xls</t>
  </si>
  <si>
    <t>Worksheet</t>
  </si>
  <si>
    <t>S0</t>
  </si>
  <si>
    <t>Item</t>
  </si>
  <si>
    <t>Specifications</t>
  </si>
  <si>
    <t>Steps</t>
  </si>
  <si>
    <t>Future Range Name</t>
  </si>
  <si>
    <t>Used</t>
  </si>
  <si>
    <t>2. Set specifcations</t>
  </si>
  <si>
    <t>Scenario To Run</t>
  </si>
  <si>
    <t>Templates Folder</t>
  </si>
  <si>
    <t>Scenario Data Folder</t>
  </si>
  <si>
    <t>Depletions Prefix</t>
  </si>
  <si>
    <t>Evaporation Prefix</t>
  </si>
  <si>
    <t>Base RiverWare Model</t>
  </si>
  <si>
    <t>RiverWare RuleSet</t>
  </si>
  <si>
    <t>1. Set up period.</t>
  </si>
  <si>
    <t>3. Run RiverWare</t>
  </si>
  <si>
    <t>mdl</t>
  </si>
  <si>
    <t>rls</t>
  </si>
  <si>
    <t>Scenario hydrology data</t>
  </si>
  <si>
    <t>RiverWare input data workbook</t>
  </si>
  <si>
    <t>RiverWare file specifications are lines 1 through 10, columns 1 though 3.</t>
  </si>
  <si>
    <t>RiverWare Data Folder</t>
  </si>
  <si>
    <t>Table 4. Example RiverWare Command Language file.</t>
  </si>
  <si>
    <t>OpenWorkspace "C:\\fieldprojects\\Milk\\rwmodels\\MilkStMary2050_S5.mdl.gz"</t>
  </si>
  <si>
    <t>SetRunInfo #RunInfo !InitDate "12-31-1949 24:00" !Duration "18262 DAYS"</t>
  </si>
  <si>
    <t>SyncObj !Acct !ExDiffTS</t>
  </si>
  <si>
    <t>InvokeDMI {GroundWaterRouting}</t>
  </si>
  <si>
    <t>InvokeDMI {SurfaceWaterRouting}</t>
  </si>
  <si>
    <t>InvokeDMI {StreamflowRouting}</t>
  </si>
  <si>
    <t>InvokeDMI {ReservoirStorage}</t>
  </si>
  <si>
    <t>InvokeDMI {Hydrology}</t>
  </si>
  <si>
    <t>InvokeDMI {Monthly ET Rates}</t>
  </si>
  <si>
    <t>InvokeDMI {Depletion Fractions}</t>
  </si>
  <si>
    <t>InvokeDMI {Annual Areas to Data Object}</t>
  </si>
  <si>
    <t>InvokeDMI {Evaporation}</t>
  </si>
  <si>
    <t>SaveWorkspace "C:\\fieldprojects\\Milk\\rwmodels\\MilkStMary2050_S5.mdl.gz"</t>
  </si>
  <si>
    <t>LoadRules "C:\\fieldprojects\\Milk\\rwmodels\\MilkStMary.rls.gz"</t>
  </si>
  <si>
    <t>StartController</t>
  </si>
  <si>
    <t>InvokeDMI {Standard Output}</t>
  </si>
  <si>
    <t>Close Workspace</t>
  </si>
  <si>
    <t>_REQINFO_:   "Using the Resource Database "C:\\Program Files\CADSWES\RiverWare 6.0.5\riverwareDB"."</t>
  </si>
  <si>
    <t>_REQINFO_:   "Model File Information: "</t>
  </si>
  <si>
    <t>_REQINFO_:   "Last saved on: 07-16-2011 18:55:35."</t>
  </si>
  <si>
    <t>_REQINFO_:   "Last saved by "Dave King" using "RiverWare 6.0.5"."</t>
  </si>
  <si>
    <t>_REQINFO_:   "------ Inline Rulebased Simulation and Accounting RUN STARTED ------"</t>
  </si>
  <si>
    <t>_REQINFO_:   ""MilkStMary2050_S5.mdl.gz at 21:58 July 16, 2011""</t>
  </si>
  <si>
    <t>_REQINFO_:   "----------------------------------"</t>
  </si>
  <si>
    <t>_REQINFO_:   "------ Inline Rulebased Simulation and Accounting RUN FINISHED ------"</t>
  </si>
  <si>
    <t>_REQINFO_:   ""MilkStMary2050_S5.mdl.gz at 22:18 July 16, 2011 (1210 seconds)""</t>
  </si>
  <si>
    <t xml:space="preserve">_REQINFO_:   "----------------------------------" </t>
  </si>
  <si>
    <t>The RiverWare manager pulls data from the hydrology, evaporation, monthly CIR, and daily CIR fractions workbooks, posts the data to the model’s input file, runs the model in batch mode, pulls model output from the model’s output file, and post model results to the output MRM that is associated with the future and scenario.  The manager can compute one scenario for one future, all scenarios for one future, or all scenarios for all futures.  The flow of data is shown on Figure 1.</t>
  </si>
  <si>
    <t>Figure 1. RiverWare manager data paths.</t>
  </si>
  <si>
    <t>Table 2. Example RiverWare model run log.</t>
  </si>
  <si>
    <t>A log file is produced by RiverWare that can be used to monitor progress of a run and to troubleshoot a run upon completion.  In addition, the manager writes messages to the Excel status bar.  During RiverWare runs or large file I/O, these messages are often not refreshed or even visible.  The RiverWare manager tells RiverWare to create log file milkbatchrun.log in the model directory.  An example RiverWare log file is shown in Table 2.  Other than warning messages, if you see content that looks significantly different than the example, the model run is probably a bad run.  Note that the RiverWare log file includes the model segment’s run time.</t>
  </si>
  <si>
    <t xml:space="preserve">Three environmental variables are used by the manager or RiverWare Data Management Interfaces (DMI's).  Environmental variables are useful for making applications more platform independent.  Environmental variables used by the manager or RiverWare DMI's are listed below.  </t>
  </si>
  <si>
    <r>
      <t>1.</t>
    </r>
    <r>
      <rPr>
        <sz val="7"/>
        <rFont val="Times New Roman"/>
        <family val="1"/>
      </rPr>
      <t xml:space="preserve">      </t>
    </r>
    <r>
      <rPr>
        <sz val="11"/>
        <rFont val="Times New Roman"/>
        <family val="1"/>
      </rPr>
      <t>MILK_SOURCE_DIR - path to mother directory of MSMRSBS data and models.  For example - "C:\fieldProjects\Milk".  Required and suggested subdirectories of MILK_SOURCE_DIR are noted below.</t>
    </r>
  </si>
  <si>
    <r>
      <t>2.</t>
    </r>
    <r>
      <rPr>
        <sz val="7"/>
        <rFont val="Times New Roman"/>
        <family val="1"/>
      </rPr>
      <t xml:space="preserve">      </t>
    </r>
    <r>
      <rPr>
        <sz val="11"/>
        <rFont val="Times New Roman"/>
        <family val="1"/>
      </rPr>
      <t>RIVERWARE_DMI_DIR - path to mother directory of all RiverWare traditional DMI's.  This environmental variable is required to run all conventional RiverWare DMI's.  See RiverWare help file DMI.pdf for additional information.  For example, "C:\dmidata".</t>
    </r>
  </si>
  <si>
    <r>
      <t>3.</t>
    </r>
    <r>
      <rPr>
        <sz val="7"/>
        <rFont val="Times New Roman"/>
        <family val="1"/>
      </rPr>
      <t xml:space="preserve">      </t>
    </r>
    <r>
      <rPr>
        <sz val="11"/>
        <rFont val="Times New Roman"/>
        <family val="1"/>
      </rPr>
      <t>RIVERWARE_HOME - path to version of RiverWare.  For example - "C:\Program Files\CADSWES\RiverWare 6.0.5"</t>
    </r>
  </si>
  <si>
    <t>See the user manual for instructions on how to create environmental variables.</t>
  </si>
  <si>
    <t>Future To Run</t>
  </si>
  <si>
    <t>c:\excelvbaprojects\climatechange\</t>
  </si>
  <si>
    <t>Hydrology Prefix</t>
  </si>
  <si>
    <t>Start Date</t>
  </si>
  <si>
    <t>End Date</t>
  </si>
  <si>
    <t>Warmer Drier</t>
  </si>
  <si>
    <t>Warmer Wetter</t>
  </si>
  <si>
    <t>Hotter Drier</t>
  </si>
  <si>
    <t>Hotter Wetter</t>
  </si>
  <si>
    <t>Scenario Period</t>
  </si>
  <si>
    <t>Historic Period</t>
  </si>
  <si>
    <t>Futures</t>
  </si>
  <si>
    <t>KBSFlows</t>
  </si>
  <si>
    <t>CMIP Type</t>
  </si>
  <si>
    <t>Klamath Basin Study RiverWare Manager</t>
  </si>
  <si>
    <t>C:\fieldprojects\KlamathBasin\data\climatechange\</t>
  </si>
  <si>
    <t>C:\fieldprojects\KlamathBasin\data\simulated\</t>
  </si>
  <si>
    <t>C:\fieldprojects\KlamathBasin\ManagementModels\KBS_DamsIn_DecisionModel.mdl.gz</t>
  </si>
  <si>
    <t>C:\fieldprojects\KlamathBasin\ManagementModels\KBS_DamsIn_DecisionModel.rls.gz</t>
  </si>
  <si>
    <t>KBS</t>
  </si>
  <si>
    <t>KBSEvap</t>
  </si>
  <si>
    <t>Scenario reservoir evaporation data</t>
  </si>
  <si>
    <t>Scenario reservoir precipitation data</t>
  </si>
  <si>
    <t>Scenario daily depletion data</t>
  </si>
  <si>
    <t>Reference daily depletion data</t>
  </si>
  <si>
    <t>Output Prefix</t>
  </si>
  <si>
    <t>RiverWare standard output data workbook</t>
  </si>
  <si>
    <t>Scenarios standard output data workbook</t>
  </si>
  <si>
    <t>RiverWare scenario model</t>
  </si>
  <si>
    <t>RiverWare scenario ruleset</t>
  </si>
  <si>
    <t>RiverWare RBM10 output data workbook</t>
  </si>
  <si>
    <t>Scenarios RBM10 output data workbook</t>
  </si>
  <si>
    <t>CMIP3</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</si>
</sst>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0"/>
      <name val="Arial"/>
    </font>
    <font>
      <sz val="10"/>
      <name val="Arial"/>
      <family val="2"/>
    </font>
    <font>
      <b/>
      <sz val="10"/>
      <name val="Arial"/>
      <family val="2"/>
    </font>
    <font>
      <b/>
      <sz val="11"/>
      <color theme="1"/>
      <name val="Calibri"/>
      <family val="2"/>
      <scheme val="minor"/>
    </font>
    <font>
      <sz val="9"/>
      <color indexed="81"/>
      <name val="Tahoma"/>
      <family val="2"/>
    </font>
    <font>
      <b/>
      <sz val="12"/>
      <color theme="1"/>
      <name val="Calibri"/>
      <family val="2"/>
      <scheme val="minor"/>
    </font>
    <font>
      <sz val="11"/>
      <name val="Times New Roman"/>
      <family val="1"/>
    </font>
    <font>
      <b/>
      <sz val="11"/>
      <name val="Times New Roman"/>
      <family val="1"/>
    </font>
    <font>
      <sz val="11"/>
      <name val="Arial"/>
      <family val="2"/>
    </font>
    <font>
      <sz val="7"/>
      <name val="Times New Roman"/>
      <family val="1"/>
    </font>
  </fonts>
  <fills count="8">
    <fill>
      <patternFill patternType="none"/>
    </fill>
    <fill>
      <patternFill patternType="gray125"/>
    </fill>
    <fill>
      <patternFill patternType="solid">
        <fgColor rgb="FF00B0F0"/>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5" tint="0.59999389629810485"/>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 fillId="0" borderId="0"/>
    <xf numFmtId="0" fontId="1" fillId="0" borderId="0"/>
  </cellStyleXfs>
  <cellXfs count="60">
    <xf numFmtId="0" fontId="0" fillId="0" borderId="0" xfId="0"/>
    <xf numFmtId="0" fontId="1" fillId="0" borderId="0" xfId="0" applyFont="1"/>
    <xf numFmtId="0" fontId="0" fillId="0" borderId="0" xfId="0" applyAlignment="1">
      <alignment wrapText="1"/>
    </xf>
    <xf numFmtId="0" fontId="1" fillId="0" borderId="10" xfId="0" applyFont="1" applyBorder="1"/>
    <xf numFmtId="0" fontId="0" fillId="0" borderId="0" xfId="0"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left"/>
    </xf>
    <xf numFmtId="0" fontId="3" fillId="3" borderId="13" xfId="0" applyFont="1" applyFill="1" applyBorder="1" applyAlignment="1">
      <alignment horizontal="left"/>
    </xf>
    <xf numFmtId="0" fontId="1" fillId="0" borderId="14" xfId="0" applyFont="1" applyBorder="1"/>
    <xf numFmtId="0" fontId="3" fillId="3" borderId="15" xfId="0" applyFont="1" applyFill="1" applyBorder="1" applyAlignment="1">
      <alignment horizontal="center"/>
    </xf>
    <xf numFmtId="0" fontId="0" fillId="4" borderId="10" xfId="0" applyFill="1" applyBorder="1" applyAlignment="1">
      <alignment horizontal="center"/>
    </xf>
    <xf numFmtId="0" fontId="1" fillId="0" borderId="0" xfId="0" applyFont="1" applyAlignment="1">
      <alignment wrapText="1"/>
    </xf>
    <xf numFmtId="0" fontId="2" fillId="0" borderId="0" xfId="0" applyFont="1" applyAlignment="1">
      <alignment wrapText="1"/>
    </xf>
    <xf numFmtId="0" fontId="0" fillId="4" borderId="10" xfId="0" applyFill="1" applyBorder="1" applyAlignment="1"/>
    <xf numFmtId="0" fontId="5" fillId="2" borderId="10" xfId="0" applyFont="1" applyFill="1" applyBorder="1" applyAlignment="1">
      <alignment horizontal="center"/>
    </xf>
    <xf numFmtId="0" fontId="6" fillId="0" borderId="0" xfId="0" applyFont="1"/>
    <xf numFmtId="0" fontId="7" fillId="0" borderId="0" xfId="0" applyFont="1"/>
    <xf numFmtId="0" fontId="8" fillId="0" borderId="0" xfId="0" applyFont="1"/>
    <xf numFmtId="0" fontId="6" fillId="0" borderId="0" xfId="0" applyFont="1" applyAlignment="1">
      <alignment wrapText="1"/>
    </xf>
    <xf numFmtId="0" fontId="6" fillId="0" borderId="0" xfId="0" applyFont="1" applyAlignment="1">
      <alignment horizontal="left" wrapText="1"/>
    </xf>
    <xf numFmtId="0" fontId="3" fillId="3" borderId="11" xfId="0" applyFont="1" applyFill="1" applyBorder="1" applyAlignment="1">
      <alignment horizontal="left"/>
    </xf>
    <xf numFmtId="14" fontId="0" fillId="4" borderId="9" xfId="0" applyNumberFormat="1" applyFill="1" applyBorder="1"/>
    <xf numFmtId="14" fontId="0" fillId="4" borderId="8" xfId="0" applyNumberFormat="1" applyFill="1" applyBorder="1"/>
    <xf numFmtId="14" fontId="1" fillId="0" borderId="0" xfId="0" applyNumberFormat="1" applyFont="1"/>
    <xf numFmtId="0" fontId="1" fillId="4" borderId="10" xfId="0" applyFont="1" applyFill="1" applyBorder="1" applyAlignment="1">
      <alignment horizontal="center"/>
    </xf>
    <xf numFmtId="0" fontId="1" fillId="7" borderId="10" xfId="0" applyFont="1" applyFill="1" applyBorder="1"/>
    <xf numFmtId="14" fontId="1" fillId="4" borderId="8" xfId="0" applyNumberFormat="1" applyFont="1" applyFill="1" applyBorder="1"/>
    <xf numFmtId="0" fontId="3" fillId="3" borderId="11" xfId="0" applyFont="1" applyFill="1" applyBorder="1" applyAlignment="1">
      <alignment horizontal="center"/>
    </xf>
    <xf numFmtId="0" fontId="3" fillId="3" borderId="13" xfId="0" applyFont="1" applyFill="1" applyBorder="1" applyAlignment="1">
      <alignment horizontal="center"/>
    </xf>
    <xf numFmtId="0" fontId="5" fillId="5" borderId="5" xfId="0" applyFont="1" applyFill="1" applyBorder="1" applyAlignment="1">
      <alignment horizontal="center"/>
    </xf>
    <xf numFmtId="0" fontId="5" fillId="5" borderId="11" xfId="0" applyFont="1" applyFill="1" applyBorder="1" applyAlignment="1">
      <alignment horizontal="center"/>
    </xf>
    <xf numFmtId="0" fontId="5" fillId="5" borderId="12" xfId="0" applyFont="1" applyFill="1" applyBorder="1" applyAlignment="1">
      <alignment horizontal="center"/>
    </xf>
    <xf numFmtId="0" fontId="3" fillId="3" borderId="5" xfId="0" applyFont="1" applyFill="1" applyBorder="1" applyAlignment="1">
      <alignment horizontal="center"/>
    </xf>
    <xf numFmtId="0" fontId="3" fillId="3" borderId="12" xfId="0" applyFont="1" applyFill="1" applyBorder="1" applyAlignment="1">
      <alignment horizontal="center"/>
    </xf>
    <xf numFmtId="0" fontId="0" fillId="4" borderId="5"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2" fillId="4" borderId="5"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1" fillId="0" borderId="5"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5" fillId="2" borderId="5" xfId="0" applyFont="1" applyFill="1" applyBorder="1" applyAlignment="1">
      <alignment horizontal="center"/>
    </xf>
    <xf numFmtId="0" fontId="5" fillId="2" borderId="11" xfId="0" applyFont="1" applyFill="1" applyBorder="1" applyAlignment="1">
      <alignment horizontal="center"/>
    </xf>
    <xf numFmtId="0" fontId="5" fillId="2" borderId="12" xfId="0" applyFont="1" applyFill="1" applyBorder="1" applyAlignment="1">
      <alignment horizontal="center"/>
    </xf>
    <xf numFmtId="0" fontId="3" fillId="3" borderId="11" xfId="0" applyFont="1" applyFill="1" applyBorder="1" applyAlignment="1">
      <alignment horizontal="left"/>
    </xf>
    <xf numFmtId="0" fontId="3" fillId="3" borderId="13" xfId="0" applyFont="1" applyFill="1" applyBorder="1" applyAlignment="1">
      <alignment horizontal="left"/>
    </xf>
    <xf numFmtId="0" fontId="5" fillId="6" borderId="1" xfId="0" applyFont="1" applyFill="1" applyBorder="1" applyAlignment="1">
      <alignment horizontal="center"/>
    </xf>
    <xf numFmtId="0" fontId="5" fillId="6" borderId="2" xfId="0" applyFont="1" applyFill="1" applyBorder="1" applyAlignment="1">
      <alignment horizontal="center"/>
    </xf>
    <xf numFmtId="0" fontId="5" fillId="6" borderId="3" xfId="0" applyFont="1" applyFill="1" applyBorder="1" applyAlignment="1">
      <alignment horizontal="center"/>
    </xf>
    <xf numFmtId="0" fontId="5" fillId="6" borderId="6" xfId="0" applyFont="1" applyFill="1" applyBorder="1" applyAlignment="1">
      <alignment horizontal="center"/>
    </xf>
    <xf numFmtId="0" fontId="5" fillId="6" borderId="0" xfId="0" applyFont="1" applyFill="1" applyBorder="1" applyAlignment="1">
      <alignment horizontal="center"/>
    </xf>
    <xf numFmtId="0" fontId="5" fillId="6" borderId="7" xfId="0" applyFont="1" applyFill="1" applyBorder="1" applyAlignment="1">
      <alignment horizontal="center"/>
    </xf>
    <xf numFmtId="0" fontId="5" fillId="6" borderId="4" xfId="0" applyFont="1" applyFill="1" applyBorder="1" applyAlignment="1">
      <alignment horizontal="center"/>
    </xf>
    <xf numFmtId="0" fontId="5" fillId="6" borderId="8" xfId="0" applyFont="1" applyFill="1" applyBorder="1" applyAlignment="1">
      <alignment horizontal="center"/>
    </xf>
    <xf numFmtId="0" fontId="5" fillId="6" borderId="9" xfId="0" applyFont="1" applyFill="1" applyBorder="1" applyAlignment="1">
      <alignment horizontal="center"/>
    </xf>
    <xf numFmtId="0" fontId="5" fillId="6" borderId="16" xfId="0" applyFont="1" applyFill="1" applyBorder="1" applyAlignment="1">
      <alignment horizontal="center"/>
    </xf>
    <xf numFmtId="0" fontId="5" fillId="6" borderId="17" xfId="0" applyFont="1" applyFill="1" applyBorder="1" applyAlignment="1">
      <alignment horizontal="center"/>
    </xf>
    <xf numFmtId="0" fontId="5" fillId="6" borderId="14" xfId="0" applyFont="1" applyFill="1" applyBorder="1" applyAlignment="1">
      <alignment horizontal="center"/>
    </xf>
  </cellXfs>
  <cellStyles count="3">
    <cellStyle name="Normal" xfId="0" builtinId="0"/>
    <cellStyle name="Normal 2" xfId="2"/>
    <cellStyle name="Normal 3"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179294</xdr:colOff>
      <xdr:row>11</xdr:row>
      <xdr:rowOff>11206</xdr:rowOff>
    </xdr:from>
    <xdr:to>
      <xdr:col>4</xdr:col>
      <xdr:colOff>649941</xdr:colOff>
      <xdr:row>12</xdr:row>
      <xdr:rowOff>40678</xdr:rowOff>
    </xdr:to>
    <xdr:sp macro="[0]!SetFileSpecs" textlink="">
      <xdr:nvSpPr>
        <xdr:cNvPr id="9" name="Rectangle 8"/>
        <xdr:cNvSpPr/>
      </xdr:nvSpPr>
      <xdr:spPr>
        <a:xfrm>
          <a:off x="1882588" y="2028265"/>
          <a:ext cx="2857500" cy="197560"/>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Set Specifications</a:t>
          </a:r>
        </a:p>
      </xdr:txBody>
    </xdr:sp>
    <xdr:clientData/>
  </xdr:twoCellAnchor>
  <xdr:twoCellAnchor>
    <xdr:from>
      <xdr:col>1</xdr:col>
      <xdr:colOff>179294</xdr:colOff>
      <xdr:row>14</xdr:row>
      <xdr:rowOff>0</xdr:rowOff>
    </xdr:from>
    <xdr:to>
      <xdr:col>4</xdr:col>
      <xdr:colOff>649941</xdr:colOff>
      <xdr:row>15</xdr:row>
      <xdr:rowOff>29472</xdr:rowOff>
    </xdr:to>
    <xdr:sp macro="[0]!ComputeOneRW" textlink="">
      <xdr:nvSpPr>
        <xdr:cNvPr id="15" name="Rectangle 14"/>
        <xdr:cNvSpPr/>
      </xdr:nvSpPr>
      <xdr:spPr>
        <a:xfrm>
          <a:off x="1882588" y="2532529"/>
          <a:ext cx="2857500" cy="186355"/>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Run One Scenario and Future</a:t>
          </a:r>
        </a:p>
      </xdr:txBody>
    </xdr:sp>
    <xdr:clientData/>
  </xdr:twoCellAnchor>
  <xdr:twoCellAnchor>
    <xdr:from>
      <xdr:col>1</xdr:col>
      <xdr:colOff>168088</xdr:colOff>
      <xdr:row>17</xdr:row>
      <xdr:rowOff>0</xdr:rowOff>
    </xdr:from>
    <xdr:to>
      <xdr:col>4</xdr:col>
      <xdr:colOff>638735</xdr:colOff>
      <xdr:row>18</xdr:row>
      <xdr:rowOff>29472</xdr:rowOff>
    </xdr:to>
    <xdr:sp macro="[0]!ComputeAllRW" textlink="">
      <xdr:nvSpPr>
        <xdr:cNvPr id="16" name="Rectangle 15"/>
        <xdr:cNvSpPr/>
      </xdr:nvSpPr>
      <xdr:spPr>
        <a:xfrm>
          <a:off x="1871382" y="3003176"/>
          <a:ext cx="2857500" cy="186355"/>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Run All Scenarios and Futures</a:t>
          </a:r>
        </a:p>
      </xdr:txBody>
    </xdr:sp>
    <xdr:clientData/>
  </xdr:twoCellAnchor>
  <xdr:twoCellAnchor>
    <xdr:from>
      <xdr:col>5</xdr:col>
      <xdr:colOff>134471</xdr:colOff>
      <xdr:row>11</xdr:row>
      <xdr:rowOff>0</xdr:rowOff>
    </xdr:from>
    <xdr:to>
      <xdr:col>8</xdr:col>
      <xdr:colOff>605118</xdr:colOff>
      <xdr:row>12</xdr:row>
      <xdr:rowOff>29472</xdr:rowOff>
    </xdr:to>
    <xdr:sp macro="[0]!ComputeHistoricRW" textlink="">
      <xdr:nvSpPr>
        <xdr:cNvPr id="17" name="Rectangle 16"/>
        <xdr:cNvSpPr/>
      </xdr:nvSpPr>
      <xdr:spPr>
        <a:xfrm>
          <a:off x="5020236" y="2017059"/>
          <a:ext cx="2857500" cy="197560"/>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Run Historic</a:t>
          </a:r>
        </a:p>
      </xdr:txBody>
    </xdr:sp>
    <xdr:clientData/>
  </xdr:twoCellAnchor>
  <xdr:twoCellAnchor>
    <xdr:from>
      <xdr:col>5</xdr:col>
      <xdr:colOff>145676</xdr:colOff>
      <xdr:row>14</xdr:row>
      <xdr:rowOff>11206</xdr:rowOff>
    </xdr:from>
    <xdr:to>
      <xdr:col>8</xdr:col>
      <xdr:colOff>616323</xdr:colOff>
      <xdr:row>15</xdr:row>
      <xdr:rowOff>40678</xdr:rowOff>
    </xdr:to>
    <xdr:sp macro="[0]!OpenInputWorkbooks" textlink="">
      <xdr:nvSpPr>
        <xdr:cNvPr id="18" name="Rectangle 17"/>
        <xdr:cNvSpPr/>
      </xdr:nvSpPr>
      <xdr:spPr>
        <a:xfrm>
          <a:off x="5031441" y="2543735"/>
          <a:ext cx="2857500" cy="186355"/>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Open Input Workbooks</a:t>
          </a:r>
        </a:p>
      </xdr:txBody>
    </xdr:sp>
    <xdr:clientData/>
  </xdr:twoCellAnchor>
  <xdr:twoCellAnchor>
    <xdr:from>
      <xdr:col>5</xdr:col>
      <xdr:colOff>156882</xdr:colOff>
      <xdr:row>17</xdr:row>
      <xdr:rowOff>11206</xdr:rowOff>
    </xdr:from>
    <xdr:to>
      <xdr:col>8</xdr:col>
      <xdr:colOff>627529</xdr:colOff>
      <xdr:row>18</xdr:row>
      <xdr:rowOff>40678</xdr:rowOff>
    </xdr:to>
    <xdr:sp macro="[0]!OpenOutputWorkbooks" textlink="">
      <xdr:nvSpPr>
        <xdr:cNvPr id="19" name="Rectangle 18"/>
        <xdr:cNvSpPr/>
      </xdr:nvSpPr>
      <xdr:spPr>
        <a:xfrm>
          <a:off x="5042647" y="3014382"/>
          <a:ext cx="2857500" cy="186355"/>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Open Output Workbooks</a:t>
          </a:r>
        </a:p>
      </xdr:txBody>
    </xdr:sp>
    <xdr:clientData/>
  </xdr:twoCellAnchor>
  <xdr:twoCellAnchor>
    <xdr:from>
      <xdr:col>0</xdr:col>
      <xdr:colOff>89648</xdr:colOff>
      <xdr:row>16</xdr:row>
      <xdr:rowOff>78440</xdr:rowOff>
    </xdr:from>
    <xdr:to>
      <xdr:col>0</xdr:col>
      <xdr:colOff>1602442</xdr:colOff>
      <xdr:row>18</xdr:row>
      <xdr:rowOff>56028</xdr:rowOff>
    </xdr:to>
    <xdr:sp macro="[0]!SetRWPath" textlink="">
      <xdr:nvSpPr>
        <xdr:cNvPr id="10" name="Rectangle 9"/>
        <xdr:cNvSpPr/>
      </xdr:nvSpPr>
      <xdr:spPr>
        <a:xfrm>
          <a:off x="8763001" y="2924734"/>
          <a:ext cx="1512794" cy="291353"/>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Specify RiverWare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219075</xdr:rowOff>
    </xdr:from>
    <xdr:to>
      <xdr:col>0</xdr:col>
      <xdr:colOff>5829300</xdr:colOff>
      <xdr:row>1</xdr:row>
      <xdr:rowOff>3752850</xdr:rowOff>
    </xdr:to>
    <xdr:sp macro="" textlink="">
      <xdr:nvSpPr>
        <xdr:cNvPr id="11304" name="AutoShape 40"/>
        <xdr:cNvSpPr>
          <a:spLocks noChangeArrowheads="1"/>
        </xdr:cNvSpPr>
      </xdr:nvSpPr>
      <xdr:spPr bwMode="auto">
        <a:xfrm>
          <a:off x="0" y="790575"/>
          <a:ext cx="5829300" cy="3533775"/>
        </a:xfrm>
        <a:prstGeom prst="roundRect">
          <a:avLst>
            <a:gd name="adj" fmla="val 16667"/>
          </a:avLst>
        </a:prstGeom>
        <a:gradFill rotWithShape="0">
          <a:gsLst>
            <a:gs pos="0">
              <a:srgbClr val="FFFFFF"/>
            </a:gs>
            <a:gs pos="100000">
              <a:srgbClr val="999999"/>
            </a:gs>
          </a:gsLst>
          <a:lin ang="5400000" scaled="1"/>
        </a:gradFill>
        <a:ln w="12700">
          <a:solidFill>
            <a:srgbClr val="666666"/>
          </a:solidFill>
          <a:round/>
          <a:headEnd/>
          <a:tailEnd/>
        </a:ln>
        <a:effectLst>
          <a:outerShdw dist="28398" dir="3806097" algn="ctr" rotWithShape="0">
            <a:srgbClr val="7F7F7F">
              <a:alpha val="50000"/>
            </a:srgbClr>
          </a:outerShdw>
        </a:effectLst>
      </xdr:spPr>
      <xdr:txBody>
        <a:bodyPr vertOverflow="clip" wrap="square" lIns="91440" tIns="45720" rIns="91440" bIns="45720" anchor="t" upright="1"/>
        <a:lstStyle/>
        <a:p>
          <a:pPr algn="l" rtl="0">
            <a:defRPr sz="1000"/>
          </a:pPr>
          <a:r>
            <a:rPr lang="en-US" sz="1100" b="0" i="0" u="none" strike="noStrike" baseline="0">
              <a:solidFill>
                <a:srgbClr val="000000"/>
              </a:solidFill>
              <a:latin typeface="Times New Roman"/>
              <a:cs typeface="Times New Roman"/>
            </a:rPr>
            <a:t> </a:t>
          </a:r>
        </a:p>
      </xdr:txBody>
    </xdr:sp>
    <xdr:clientData/>
  </xdr:twoCellAnchor>
  <xdr:twoCellAnchor>
    <xdr:from>
      <xdr:col>0</xdr:col>
      <xdr:colOff>361950</xdr:colOff>
      <xdr:row>1</xdr:row>
      <xdr:rowOff>561975</xdr:rowOff>
    </xdr:from>
    <xdr:to>
      <xdr:col>0</xdr:col>
      <xdr:colOff>1809750</xdr:colOff>
      <xdr:row>1</xdr:row>
      <xdr:rowOff>1000125</xdr:rowOff>
    </xdr:to>
    <xdr:sp macro="" textlink="">
      <xdr:nvSpPr>
        <xdr:cNvPr id="11303" name="Oval 39"/>
        <xdr:cNvSpPr>
          <a:spLocks noChangeArrowheads="1"/>
        </xdr:cNvSpPr>
      </xdr:nvSpPr>
      <xdr:spPr bwMode="auto">
        <a:xfrm>
          <a:off x="361950" y="1133475"/>
          <a:ext cx="1447800" cy="438150"/>
        </a:xfrm>
        <a:prstGeom prst="ellipse">
          <a:avLst/>
        </a:prstGeom>
        <a:gradFill rotWithShape="0">
          <a:gsLst>
            <a:gs pos="0">
              <a:srgbClr val="FFFFFF"/>
            </a:gs>
            <a:gs pos="100000">
              <a:srgbClr val="E5B8B7"/>
            </a:gs>
          </a:gsLst>
          <a:lin ang="5400000" scaled="1"/>
        </a:gradFill>
        <a:ln w="12700">
          <a:solidFill>
            <a:srgbClr val="D99594"/>
          </a:solidFill>
          <a:round/>
          <a:headEnd/>
          <a:tailEnd/>
        </a:ln>
        <a:effectLst>
          <a:outerShdw dist="28398" dir="3806097" algn="ctr" rotWithShape="0">
            <a:srgbClr val="622423">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Monthly CIR’s </a:t>
          </a:r>
        </a:p>
      </xdr:txBody>
    </xdr:sp>
    <xdr:clientData/>
  </xdr:twoCellAnchor>
  <xdr:twoCellAnchor>
    <xdr:from>
      <xdr:col>0</xdr:col>
      <xdr:colOff>3838575</xdr:colOff>
      <xdr:row>1</xdr:row>
      <xdr:rowOff>523875</xdr:rowOff>
    </xdr:from>
    <xdr:to>
      <xdr:col>0</xdr:col>
      <xdr:colOff>5495925</xdr:colOff>
      <xdr:row>1</xdr:row>
      <xdr:rowOff>1000125</xdr:rowOff>
    </xdr:to>
    <xdr:sp macro="" textlink="">
      <xdr:nvSpPr>
        <xdr:cNvPr id="11302" name="Oval 38"/>
        <xdr:cNvSpPr>
          <a:spLocks noChangeArrowheads="1"/>
        </xdr:cNvSpPr>
      </xdr:nvSpPr>
      <xdr:spPr bwMode="auto">
        <a:xfrm>
          <a:off x="3838575" y="1095375"/>
          <a:ext cx="1657350" cy="476250"/>
        </a:xfrm>
        <a:prstGeom prst="ellipse">
          <a:avLst/>
        </a:prstGeom>
        <a:gradFill rotWithShape="0">
          <a:gsLst>
            <a:gs pos="0">
              <a:srgbClr val="FFFFFF"/>
            </a:gs>
            <a:gs pos="100000">
              <a:srgbClr val="E5B8B7"/>
            </a:gs>
          </a:gsLst>
          <a:lin ang="5400000" scaled="1"/>
        </a:gradFill>
        <a:ln w="12700">
          <a:solidFill>
            <a:srgbClr val="D99594"/>
          </a:solidFill>
          <a:round/>
          <a:headEnd/>
          <a:tailEnd/>
        </a:ln>
        <a:effectLst>
          <a:outerShdw dist="28398" dir="3806097" algn="ctr" rotWithShape="0">
            <a:srgbClr val="622423">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Daily CIR Fractions</a:t>
          </a:r>
        </a:p>
      </xdr:txBody>
    </xdr:sp>
    <xdr:clientData/>
  </xdr:twoCellAnchor>
  <xdr:twoCellAnchor>
    <xdr:from>
      <xdr:col>0</xdr:col>
      <xdr:colOff>2286000</xdr:colOff>
      <xdr:row>1</xdr:row>
      <xdr:rowOff>600075</xdr:rowOff>
    </xdr:from>
    <xdr:to>
      <xdr:col>0</xdr:col>
      <xdr:colOff>3486150</xdr:colOff>
      <xdr:row>1</xdr:row>
      <xdr:rowOff>933450</xdr:rowOff>
    </xdr:to>
    <xdr:sp macro="" textlink="">
      <xdr:nvSpPr>
        <xdr:cNvPr id="11301" name="Oval 37"/>
        <xdr:cNvSpPr>
          <a:spLocks noChangeArrowheads="1"/>
        </xdr:cNvSpPr>
      </xdr:nvSpPr>
      <xdr:spPr bwMode="auto">
        <a:xfrm>
          <a:off x="2286000" y="1171575"/>
          <a:ext cx="1200150" cy="333375"/>
        </a:xfrm>
        <a:prstGeom prst="ellipse">
          <a:avLst/>
        </a:prstGeom>
        <a:gradFill rotWithShape="0">
          <a:gsLst>
            <a:gs pos="0">
              <a:srgbClr val="FFFFFF"/>
            </a:gs>
            <a:gs pos="100000">
              <a:srgbClr val="E5B8B7"/>
            </a:gs>
          </a:gsLst>
          <a:lin ang="5400000" scaled="1"/>
        </a:gradFill>
        <a:ln w="12700">
          <a:solidFill>
            <a:srgbClr val="D99594"/>
          </a:solidFill>
          <a:round/>
          <a:headEnd/>
          <a:tailEnd/>
        </a:ln>
        <a:effectLst>
          <a:outerShdw dist="28398" dir="3806097" algn="ctr" rotWithShape="0">
            <a:srgbClr val="622423">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Evaporation R</a:t>
          </a:r>
          <a:r>
            <a:rPr lang="en-US" sz="1100" b="0" i="0" u="none" strike="noStrike" baseline="0">
              <a:solidFill>
                <a:srgbClr val="000000"/>
              </a:solidFill>
              <a:latin typeface="Times New Roman"/>
              <a:cs typeface="Times New Roman"/>
            </a:rPr>
            <a:t>ates</a:t>
          </a:r>
        </a:p>
      </xdr:txBody>
    </xdr:sp>
    <xdr:clientData/>
  </xdr:twoCellAnchor>
  <xdr:twoCellAnchor>
    <xdr:from>
      <xdr:col>0</xdr:col>
      <xdr:colOff>114300</xdr:colOff>
      <xdr:row>1</xdr:row>
      <xdr:rowOff>1514475</xdr:rowOff>
    </xdr:from>
    <xdr:to>
      <xdr:col>0</xdr:col>
      <xdr:colOff>2105025</xdr:colOff>
      <xdr:row>1</xdr:row>
      <xdr:rowOff>1866900</xdr:rowOff>
    </xdr:to>
    <xdr:sp macro="" textlink="">
      <xdr:nvSpPr>
        <xdr:cNvPr id="11300" name="Oval 36"/>
        <xdr:cNvSpPr>
          <a:spLocks noChangeArrowheads="1"/>
        </xdr:cNvSpPr>
      </xdr:nvSpPr>
      <xdr:spPr bwMode="auto">
        <a:xfrm>
          <a:off x="114300" y="2085975"/>
          <a:ext cx="1990725" cy="352425"/>
        </a:xfrm>
        <a:prstGeom prst="ellipse">
          <a:avLst/>
        </a:prstGeom>
        <a:gradFill rotWithShape="0">
          <a:gsLst>
            <a:gs pos="0">
              <a:srgbClr val="FFFFFF"/>
            </a:gs>
            <a:gs pos="100000">
              <a:srgbClr val="E5B8B7"/>
            </a:gs>
          </a:gsLst>
          <a:lin ang="5400000" scaled="1"/>
        </a:gradFill>
        <a:ln w="12700">
          <a:solidFill>
            <a:srgbClr val="D99594"/>
          </a:solidFill>
          <a:round/>
          <a:headEnd/>
          <a:tailEnd/>
        </a:ln>
        <a:effectLst>
          <a:outerShdw dist="28398" dir="3806097" algn="ctr" rotWithShape="0">
            <a:srgbClr val="622423">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Biased Corrected Flows</a:t>
          </a:r>
        </a:p>
      </xdr:txBody>
    </xdr:sp>
    <xdr:clientData/>
  </xdr:twoCellAnchor>
  <xdr:twoCellAnchor>
    <xdr:from>
      <xdr:col>0</xdr:col>
      <xdr:colOff>2676525</xdr:colOff>
      <xdr:row>1</xdr:row>
      <xdr:rowOff>1295400</xdr:rowOff>
    </xdr:from>
    <xdr:to>
      <xdr:col>0</xdr:col>
      <xdr:colOff>3609975</xdr:colOff>
      <xdr:row>1</xdr:row>
      <xdr:rowOff>1752600</xdr:rowOff>
    </xdr:to>
    <xdr:sp macro="" textlink="">
      <xdr:nvSpPr>
        <xdr:cNvPr id="11299" name="Text Box 35"/>
        <xdr:cNvSpPr txBox="1">
          <a:spLocks noChangeArrowheads="1"/>
        </xdr:cNvSpPr>
      </xdr:nvSpPr>
      <xdr:spPr bwMode="auto">
        <a:xfrm>
          <a:off x="2676525" y="1866900"/>
          <a:ext cx="933450" cy="457200"/>
        </a:xfrm>
        <a:prstGeom prst="rect">
          <a:avLst/>
        </a:prstGeom>
        <a:gradFill rotWithShape="0">
          <a:gsLst>
            <a:gs pos="0">
              <a:srgbClr val="FFFFFF"/>
            </a:gs>
            <a:gs pos="100000">
              <a:srgbClr val="B8CCE4"/>
            </a:gs>
          </a:gsLst>
          <a:lin ang="5400000" scaled="1"/>
        </a:gradFill>
        <a:ln w="12700">
          <a:solidFill>
            <a:srgbClr val="95B3D7"/>
          </a:solidFill>
          <a:miter lim="800000"/>
          <a:headEnd/>
          <a:tailEnd/>
        </a:ln>
        <a:effectLst>
          <a:outerShdw dist="28398" dir="3806097" algn="ctr" rotWithShape="0">
            <a:srgbClr val="243F60">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RiverWare Manager</a:t>
          </a:r>
        </a:p>
      </xdr:txBody>
    </xdr:sp>
    <xdr:clientData/>
  </xdr:twoCellAnchor>
  <xdr:twoCellAnchor>
    <xdr:from>
      <xdr:col>0</xdr:col>
      <xdr:colOff>2752725</xdr:colOff>
      <xdr:row>1</xdr:row>
      <xdr:rowOff>2200275</xdr:rowOff>
    </xdr:from>
    <xdr:to>
      <xdr:col>0</xdr:col>
      <xdr:colOff>3562350</xdr:colOff>
      <xdr:row>1</xdr:row>
      <xdr:rowOff>2447925</xdr:rowOff>
    </xdr:to>
    <xdr:sp macro="" textlink="">
      <xdr:nvSpPr>
        <xdr:cNvPr id="11298" name="Text Box 34"/>
        <xdr:cNvSpPr txBox="1">
          <a:spLocks noChangeArrowheads="1"/>
        </xdr:cNvSpPr>
      </xdr:nvSpPr>
      <xdr:spPr bwMode="auto">
        <a:xfrm>
          <a:off x="2752725" y="2771775"/>
          <a:ext cx="809625" cy="247650"/>
        </a:xfrm>
        <a:prstGeom prst="rect">
          <a:avLst/>
        </a:prstGeom>
        <a:gradFill rotWithShape="0">
          <a:gsLst>
            <a:gs pos="0">
              <a:srgbClr val="FFFFFF"/>
            </a:gs>
            <a:gs pos="100000">
              <a:srgbClr val="B8CCE4"/>
            </a:gs>
          </a:gsLst>
          <a:lin ang="5400000" scaled="1"/>
        </a:gradFill>
        <a:ln w="12700">
          <a:solidFill>
            <a:srgbClr val="95B3D7"/>
          </a:solidFill>
          <a:miter lim="800000"/>
          <a:headEnd/>
          <a:tailEnd/>
        </a:ln>
        <a:effectLst>
          <a:outerShdw dist="28398" dir="3806097" algn="ctr" rotWithShape="0">
            <a:srgbClr val="243F60">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RiverWare</a:t>
          </a:r>
        </a:p>
      </xdr:txBody>
    </xdr:sp>
    <xdr:clientData/>
  </xdr:twoCellAnchor>
  <xdr:twoCellAnchor>
    <xdr:from>
      <xdr:col>0</xdr:col>
      <xdr:colOff>4267200</xdr:colOff>
      <xdr:row>1</xdr:row>
      <xdr:rowOff>1514475</xdr:rowOff>
    </xdr:from>
    <xdr:to>
      <xdr:col>0</xdr:col>
      <xdr:colOff>5324475</xdr:colOff>
      <xdr:row>1</xdr:row>
      <xdr:rowOff>2057400</xdr:rowOff>
    </xdr:to>
    <xdr:sp macro="" textlink="">
      <xdr:nvSpPr>
        <xdr:cNvPr id="11297" name="Oval 33"/>
        <xdr:cNvSpPr>
          <a:spLocks noChangeArrowheads="1"/>
        </xdr:cNvSpPr>
      </xdr:nvSpPr>
      <xdr:spPr bwMode="auto">
        <a:xfrm>
          <a:off x="4267200" y="2085975"/>
          <a:ext cx="1057275" cy="542925"/>
        </a:xfrm>
        <a:prstGeom prst="ellipse">
          <a:avLst/>
        </a:prstGeom>
        <a:gradFill rotWithShape="0">
          <a:gsLst>
            <a:gs pos="0">
              <a:srgbClr val="FFFFFF"/>
            </a:gs>
            <a:gs pos="100000">
              <a:srgbClr val="E5B8B7"/>
            </a:gs>
          </a:gsLst>
          <a:lin ang="5400000" scaled="1"/>
        </a:gradFill>
        <a:ln w="12700">
          <a:solidFill>
            <a:srgbClr val="D99594"/>
          </a:solidFill>
          <a:round/>
          <a:headEnd/>
          <a:tailEnd/>
        </a:ln>
        <a:effectLst>
          <a:outerShdw dist="28398" dir="3806097" algn="ctr" rotWithShape="0">
            <a:srgbClr val="622423">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RiverWare Output File</a:t>
          </a:r>
        </a:p>
      </xdr:txBody>
    </xdr:sp>
    <xdr:clientData/>
  </xdr:twoCellAnchor>
  <xdr:twoCellAnchor>
    <xdr:from>
      <xdr:col>0</xdr:col>
      <xdr:colOff>1533525</xdr:colOff>
      <xdr:row>1</xdr:row>
      <xdr:rowOff>933450</xdr:rowOff>
    </xdr:from>
    <xdr:to>
      <xdr:col>0</xdr:col>
      <xdr:colOff>2676525</xdr:colOff>
      <xdr:row>1</xdr:row>
      <xdr:rowOff>1438275</xdr:rowOff>
    </xdr:to>
    <xdr:sp macro="" textlink="">
      <xdr:nvSpPr>
        <xdr:cNvPr id="11296" name="AutoShape 32"/>
        <xdr:cNvSpPr>
          <a:spLocks noChangeShapeType="1"/>
        </xdr:cNvSpPr>
      </xdr:nvSpPr>
      <xdr:spPr bwMode="auto">
        <a:xfrm>
          <a:off x="1533525" y="1504950"/>
          <a:ext cx="1143000" cy="504825"/>
        </a:xfrm>
        <a:prstGeom prst="straightConnector1">
          <a:avLst/>
        </a:prstGeom>
        <a:noFill/>
        <a:ln w="9525">
          <a:solidFill>
            <a:srgbClr val="000000"/>
          </a:solidFill>
          <a:round/>
          <a:headEnd/>
          <a:tailEnd type="triangle" w="med" len="med"/>
        </a:ln>
      </xdr:spPr>
    </xdr:sp>
    <xdr:clientData/>
  </xdr:twoCellAnchor>
  <xdr:twoCellAnchor>
    <xdr:from>
      <xdr:col>0</xdr:col>
      <xdr:colOff>2895600</xdr:colOff>
      <xdr:row>1</xdr:row>
      <xdr:rowOff>933450</xdr:rowOff>
    </xdr:from>
    <xdr:to>
      <xdr:col>0</xdr:col>
      <xdr:colOff>2895600</xdr:colOff>
      <xdr:row>1</xdr:row>
      <xdr:rowOff>1295400</xdr:rowOff>
    </xdr:to>
    <xdr:sp macro="" textlink="">
      <xdr:nvSpPr>
        <xdr:cNvPr id="11295" name="AutoShape 31"/>
        <xdr:cNvSpPr>
          <a:spLocks noChangeShapeType="1"/>
        </xdr:cNvSpPr>
      </xdr:nvSpPr>
      <xdr:spPr bwMode="auto">
        <a:xfrm>
          <a:off x="2895600" y="1504950"/>
          <a:ext cx="0" cy="361950"/>
        </a:xfrm>
        <a:prstGeom prst="straightConnector1">
          <a:avLst/>
        </a:prstGeom>
        <a:noFill/>
        <a:ln w="9525">
          <a:solidFill>
            <a:srgbClr val="000000"/>
          </a:solidFill>
          <a:round/>
          <a:headEnd/>
          <a:tailEnd type="triangle" w="med" len="med"/>
        </a:ln>
      </xdr:spPr>
    </xdr:sp>
    <xdr:clientData/>
  </xdr:twoCellAnchor>
  <xdr:twoCellAnchor>
    <xdr:from>
      <xdr:col>0</xdr:col>
      <xdr:colOff>3324225</xdr:colOff>
      <xdr:row>1</xdr:row>
      <xdr:rowOff>866775</xdr:rowOff>
    </xdr:from>
    <xdr:to>
      <xdr:col>0</xdr:col>
      <xdr:colOff>3990975</xdr:colOff>
      <xdr:row>1</xdr:row>
      <xdr:rowOff>1295400</xdr:rowOff>
    </xdr:to>
    <xdr:sp macro="" textlink="">
      <xdr:nvSpPr>
        <xdr:cNvPr id="11294" name="AutoShape 30"/>
        <xdr:cNvSpPr>
          <a:spLocks noChangeShapeType="1"/>
        </xdr:cNvSpPr>
      </xdr:nvSpPr>
      <xdr:spPr bwMode="auto">
        <a:xfrm flipH="1">
          <a:off x="3324225" y="1438275"/>
          <a:ext cx="666750" cy="428625"/>
        </a:xfrm>
        <a:prstGeom prst="straightConnector1">
          <a:avLst/>
        </a:prstGeom>
        <a:noFill/>
        <a:ln w="9525">
          <a:solidFill>
            <a:srgbClr val="000000"/>
          </a:solidFill>
          <a:round/>
          <a:headEnd/>
          <a:tailEnd type="triangle" w="med" len="med"/>
        </a:ln>
      </xdr:spPr>
    </xdr:sp>
    <xdr:clientData/>
  </xdr:twoCellAnchor>
  <xdr:twoCellAnchor>
    <xdr:from>
      <xdr:col>0</xdr:col>
      <xdr:colOff>2105025</xdr:colOff>
      <xdr:row>1</xdr:row>
      <xdr:rowOff>1666875</xdr:rowOff>
    </xdr:from>
    <xdr:to>
      <xdr:col>0</xdr:col>
      <xdr:colOff>2676525</xdr:colOff>
      <xdr:row>1</xdr:row>
      <xdr:rowOff>1666875</xdr:rowOff>
    </xdr:to>
    <xdr:sp macro="" textlink="">
      <xdr:nvSpPr>
        <xdr:cNvPr id="11293" name="AutoShape 29"/>
        <xdr:cNvSpPr>
          <a:spLocks noChangeShapeType="1"/>
        </xdr:cNvSpPr>
      </xdr:nvSpPr>
      <xdr:spPr bwMode="auto">
        <a:xfrm>
          <a:off x="2105025" y="2238375"/>
          <a:ext cx="571500" cy="0"/>
        </a:xfrm>
        <a:prstGeom prst="straightConnector1">
          <a:avLst/>
        </a:prstGeom>
        <a:noFill/>
        <a:ln w="9525">
          <a:solidFill>
            <a:srgbClr val="000000"/>
          </a:solidFill>
          <a:round/>
          <a:headEnd/>
          <a:tailEnd type="triangle" w="med" len="med"/>
        </a:ln>
      </xdr:spPr>
    </xdr:sp>
    <xdr:clientData/>
  </xdr:twoCellAnchor>
  <xdr:twoCellAnchor>
    <xdr:from>
      <xdr:col>0</xdr:col>
      <xdr:colOff>1257300</xdr:colOff>
      <xdr:row>1</xdr:row>
      <xdr:rowOff>2066925</xdr:rowOff>
    </xdr:from>
    <xdr:to>
      <xdr:col>0</xdr:col>
      <xdr:colOff>2428875</xdr:colOff>
      <xdr:row>1</xdr:row>
      <xdr:rowOff>2619375</xdr:rowOff>
    </xdr:to>
    <xdr:sp macro="" textlink="">
      <xdr:nvSpPr>
        <xdr:cNvPr id="11292" name="Oval 28"/>
        <xdr:cNvSpPr>
          <a:spLocks noChangeArrowheads="1"/>
        </xdr:cNvSpPr>
      </xdr:nvSpPr>
      <xdr:spPr bwMode="auto">
        <a:xfrm>
          <a:off x="1257300" y="2638425"/>
          <a:ext cx="1171575" cy="552450"/>
        </a:xfrm>
        <a:prstGeom prst="ellipse">
          <a:avLst/>
        </a:prstGeom>
        <a:gradFill rotWithShape="0">
          <a:gsLst>
            <a:gs pos="0">
              <a:srgbClr val="FFFFFF"/>
            </a:gs>
            <a:gs pos="100000">
              <a:srgbClr val="E5B8B7"/>
            </a:gs>
          </a:gsLst>
          <a:lin ang="5400000" scaled="1"/>
        </a:gradFill>
        <a:ln w="12700">
          <a:solidFill>
            <a:srgbClr val="D99594"/>
          </a:solidFill>
          <a:round/>
          <a:headEnd/>
          <a:tailEnd/>
        </a:ln>
        <a:effectLst>
          <a:outerShdw dist="28398" dir="3806097" algn="ctr" rotWithShape="0">
            <a:srgbClr val="622423">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RiverWare Input File</a:t>
          </a:r>
        </a:p>
      </xdr:txBody>
    </xdr:sp>
    <xdr:clientData/>
  </xdr:twoCellAnchor>
  <xdr:twoCellAnchor>
    <xdr:from>
      <xdr:col>0</xdr:col>
      <xdr:colOff>2428875</xdr:colOff>
      <xdr:row>1</xdr:row>
      <xdr:rowOff>2809875</xdr:rowOff>
    </xdr:from>
    <xdr:to>
      <xdr:col>0</xdr:col>
      <xdr:colOff>3990975</xdr:colOff>
      <xdr:row>1</xdr:row>
      <xdr:rowOff>3381375</xdr:rowOff>
    </xdr:to>
    <xdr:sp macro="" textlink="">
      <xdr:nvSpPr>
        <xdr:cNvPr id="11291" name="Oval 27"/>
        <xdr:cNvSpPr>
          <a:spLocks noChangeArrowheads="1"/>
        </xdr:cNvSpPr>
      </xdr:nvSpPr>
      <xdr:spPr bwMode="auto">
        <a:xfrm>
          <a:off x="2428875" y="3381375"/>
          <a:ext cx="1562100" cy="571500"/>
        </a:xfrm>
        <a:prstGeom prst="ellipse">
          <a:avLst/>
        </a:prstGeom>
        <a:gradFill rotWithShape="0">
          <a:gsLst>
            <a:gs pos="0">
              <a:srgbClr val="FFFFFF"/>
            </a:gs>
            <a:gs pos="100000">
              <a:srgbClr val="E5B8B7"/>
            </a:gs>
          </a:gsLst>
          <a:lin ang="5400000" scaled="1"/>
        </a:gradFill>
        <a:ln w="12700">
          <a:solidFill>
            <a:srgbClr val="D99594"/>
          </a:solidFill>
          <a:round/>
          <a:headEnd/>
          <a:tailEnd/>
        </a:ln>
        <a:effectLst>
          <a:outerShdw dist="28398" dir="3806097" algn="ctr" rotWithShape="0">
            <a:srgbClr val="622423">
              <a:alpha val="50000"/>
            </a:srgbClr>
          </a:outerShdw>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RiverWare Model an</a:t>
          </a:r>
          <a:r>
            <a:rPr lang="en-US" sz="1100" b="0" i="0" u="none" strike="noStrike" baseline="0">
              <a:solidFill>
                <a:srgbClr val="000000"/>
              </a:solidFill>
              <a:latin typeface="Times New Roman"/>
              <a:cs typeface="Times New Roman"/>
            </a:rPr>
            <a:t>d Ruleset</a:t>
          </a:r>
        </a:p>
      </xdr:txBody>
    </xdr:sp>
    <xdr:clientData/>
  </xdr:twoCellAnchor>
  <xdr:twoCellAnchor>
    <xdr:from>
      <xdr:col>0</xdr:col>
      <xdr:colOff>2286000</xdr:colOff>
      <xdr:row>1</xdr:row>
      <xdr:rowOff>1762125</xdr:rowOff>
    </xdr:from>
    <xdr:to>
      <xdr:col>0</xdr:col>
      <xdr:colOff>2752725</xdr:colOff>
      <xdr:row>1</xdr:row>
      <xdr:rowOff>2200275</xdr:rowOff>
    </xdr:to>
    <xdr:sp macro="" textlink="">
      <xdr:nvSpPr>
        <xdr:cNvPr id="11290" name="AutoShape 26"/>
        <xdr:cNvSpPr>
          <a:spLocks noChangeShapeType="1"/>
        </xdr:cNvSpPr>
      </xdr:nvSpPr>
      <xdr:spPr bwMode="auto">
        <a:xfrm flipH="1">
          <a:off x="2286000" y="2333625"/>
          <a:ext cx="466725" cy="438150"/>
        </a:xfrm>
        <a:prstGeom prst="straightConnector1">
          <a:avLst/>
        </a:prstGeom>
        <a:noFill/>
        <a:ln w="9525">
          <a:solidFill>
            <a:srgbClr val="000000"/>
          </a:solidFill>
          <a:round/>
          <a:headEnd/>
          <a:tailEnd type="triangle" w="med" len="med"/>
        </a:ln>
      </xdr:spPr>
    </xdr:sp>
    <xdr:clientData/>
  </xdr:twoCellAnchor>
  <xdr:twoCellAnchor>
    <xdr:from>
      <xdr:col>0</xdr:col>
      <xdr:colOff>3609975</xdr:colOff>
      <xdr:row>1</xdr:row>
      <xdr:rowOff>1590675</xdr:rowOff>
    </xdr:from>
    <xdr:to>
      <xdr:col>0</xdr:col>
      <xdr:colOff>4267200</xdr:colOff>
      <xdr:row>1</xdr:row>
      <xdr:rowOff>1752600</xdr:rowOff>
    </xdr:to>
    <xdr:sp macro="" textlink="">
      <xdr:nvSpPr>
        <xdr:cNvPr id="11289" name="AutoShape 25"/>
        <xdr:cNvSpPr>
          <a:spLocks noChangeShapeType="1"/>
        </xdr:cNvSpPr>
      </xdr:nvSpPr>
      <xdr:spPr bwMode="auto">
        <a:xfrm flipH="1" flipV="1">
          <a:off x="3609975" y="2162175"/>
          <a:ext cx="657225" cy="161925"/>
        </a:xfrm>
        <a:prstGeom prst="straightConnector1">
          <a:avLst/>
        </a:prstGeom>
        <a:noFill/>
        <a:ln w="9525">
          <a:solidFill>
            <a:srgbClr val="000000"/>
          </a:solidFill>
          <a:round/>
          <a:headEnd/>
          <a:tailEnd type="triangle" w="med" len="med"/>
        </a:ln>
      </xdr:spPr>
    </xdr:sp>
    <xdr:clientData/>
  </xdr:twoCellAnchor>
  <xdr:twoCellAnchor>
    <xdr:from>
      <xdr:col>0</xdr:col>
      <xdr:colOff>2286000</xdr:colOff>
      <xdr:row>1</xdr:row>
      <xdr:rowOff>2552700</xdr:rowOff>
    </xdr:from>
    <xdr:to>
      <xdr:col>0</xdr:col>
      <xdr:colOff>2752725</xdr:colOff>
      <xdr:row>1</xdr:row>
      <xdr:rowOff>2876550</xdr:rowOff>
    </xdr:to>
    <xdr:sp macro="" textlink="">
      <xdr:nvSpPr>
        <xdr:cNvPr id="11288" name="AutoShape 24"/>
        <xdr:cNvSpPr>
          <a:spLocks noChangeShapeType="1"/>
        </xdr:cNvSpPr>
      </xdr:nvSpPr>
      <xdr:spPr bwMode="auto">
        <a:xfrm>
          <a:off x="2286000" y="3124200"/>
          <a:ext cx="466725" cy="323850"/>
        </a:xfrm>
        <a:prstGeom prst="straightConnector1">
          <a:avLst/>
        </a:prstGeom>
        <a:noFill/>
        <a:ln w="9525">
          <a:solidFill>
            <a:srgbClr val="000000"/>
          </a:solidFill>
          <a:round/>
          <a:headEnd/>
          <a:tailEnd type="triangle" w="med" len="med"/>
        </a:ln>
      </xdr:spPr>
    </xdr:sp>
    <xdr:clientData/>
  </xdr:twoCellAnchor>
  <xdr:twoCellAnchor>
    <xdr:from>
      <xdr:col>0</xdr:col>
      <xdr:colOff>3695700</xdr:colOff>
      <xdr:row>1</xdr:row>
      <xdr:rowOff>2066925</xdr:rowOff>
    </xdr:from>
    <xdr:to>
      <xdr:col>0</xdr:col>
      <xdr:colOff>4495800</xdr:colOff>
      <xdr:row>1</xdr:row>
      <xdr:rowOff>2876550</xdr:rowOff>
    </xdr:to>
    <xdr:sp macro="" textlink="">
      <xdr:nvSpPr>
        <xdr:cNvPr id="11287" name="AutoShape 23"/>
        <xdr:cNvSpPr>
          <a:spLocks noChangeShapeType="1"/>
        </xdr:cNvSpPr>
      </xdr:nvSpPr>
      <xdr:spPr bwMode="auto">
        <a:xfrm flipV="1">
          <a:off x="3695700" y="2638425"/>
          <a:ext cx="800100" cy="809625"/>
        </a:xfrm>
        <a:prstGeom prst="straightConnector1">
          <a:avLst/>
        </a:prstGeom>
        <a:noFill/>
        <a:ln w="9525">
          <a:solidFill>
            <a:srgbClr val="000000"/>
          </a:solidFill>
          <a:round/>
          <a:headEnd/>
          <a:tailEnd type="triangle" w="med" len="med"/>
        </a:ln>
      </xdr:spPr>
    </xdr:sp>
    <xdr:clientData/>
  </xdr:twoCellAnchor>
  <xdr:twoCellAnchor>
    <xdr:from>
      <xdr:col>0</xdr:col>
      <xdr:colOff>3133725</xdr:colOff>
      <xdr:row>1</xdr:row>
      <xdr:rowOff>2447925</xdr:rowOff>
    </xdr:from>
    <xdr:to>
      <xdr:col>0</xdr:col>
      <xdr:colOff>3133725</xdr:colOff>
      <xdr:row>1</xdr:row>
      <xdr:rowOff>2809875</xdr:rowOff>
    </xdr:to>
    <xdr:sp macro="" textlink="">
      <xdr:nvSpPr>
        <xdr:cNvPr id="11286" name="AutoShape 22"/>
        <xdr:cNvSpPr>
          <a:spLocks noChangeShapeType="1"/>
        </xdr:cNvSpPr>
      </xdr:nvSpPr>
      <xdr:spPr bwMode="auto">
        <a:xfrm>
          <a:off x="3133725" y="3019425"/>
          <a:ext cx="0" cy="361950"/>
        </a:xfrm>
        <a:prstGeom prst="straightConnector1">
          <a:avLst/>
        </a:prstGeom>
        <a:noFill/>
        <a:ln w="9525">
          <a:solidFill>
            <a:srgbClr val="000000"/>
          </a:solidFill>
          <a:round/>
          <a:headEnd type="triangle" w="med" len="med"/>
          <a:tailEnd type="triangle" w="med" len="me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J30"/>
  <sheetViews>
    <sheetView tabSelected="1" zoomScale="85" zoomScaleNormal="85" workbookViewId="0">
      <selection activeCell="J7" sqref="J7"/>
    </sheetView>
  </sheetViews>
  <sheetFormatPr defaultRowHeight="12.75" x14ac:dyDescent="0.2"/>
  <cols>
    <col min="1" max="1" width="36.7109375" customWidth="1"/>
    <col min="2" max="9" width="12" customWidth="1"/>
    <col min="10" max="10" width="22.85546875" customWidth="1"/>
  </cols>
  <sheetData>
    <row r="1" spans="1:10" ht="15.75" x14ac:dyDescent="0.25">
      <c r="A1" s="29" t="s">
        <v>85</v>
      </c>
      <c r="B1" s="30"/>
      <c r="C1" s="30"/>
      <c r="D1" s="30"/>
      <c r="E1" s="30"/>
      <c r="F1" s="30"/>
      <c r="G1" s="30"/>
      <c r="H1" s="30"/>
      <c r="I1" s="31"/>
    </row>
    <row r="2" spans="1:10" ht="15.75" thickBot="1" x14ac:dyDescent="0.3">
      <c r="A2" s="8" t="s">
        <v>81</v>
      </c>
      <c r="B2" s="5" t="s">
        <v>74</v>
      </c>
      <c r="C2" s="21">
        <v>22220</v>
      </c>
      <c r="D2" s="5" t="s">
        <v>75</v>
      </c>
      <c r="E2" s="26">
        <v>41547</v>
      </c>
      <c r="F2" s="27" t="s">
        <v>82</v>
      </c>
      <c r="G2" s="27"/>
      <c r="H2" s="27"/>
      <c r="I2" s="28"/>
    </row>
    <row r="3" spans="1:10" ht="15" x14ac:dyDescent="0.25">
      <c r="A3" s="8" t="s">
        <v>80</v>
      </c>
      <c r="B3" s="5" t="s">
        <v>74</v>
      </c>
      <c r="C3" s="21">
        <v>25477</v>
      </c>
      <c r="D3" s="5" t="s">
        <v>75</v>
      </c>
      <c r="E3" s="22">
        <v>36433</v>
      </c>
      <c r="F3" s="32" t="s">
        <v>16</v>
      </c>
      <c r="G3" s="27"/>
      <c r="H3" s="33"/>
      <c r="I3" s="5" t="s">
        <v>17</v>
      </c>
      <c r="J3" s="9" t="s">
        <v>84</v>
      </c>
    </row>
    <row r="4" spans="1:10" x14ac:dyDescent="0.2">
      <c r="A4" s="3" t="s">
        <v>11</v>
      </c>
      <c r="B4" s="40" t="s">
        <v>4</v>
      </c>
      <c r="C4" s="41"/>
      <c r="D4" s="41"/>
      <c r="E4" s="42"/>
      <c r="F4" s="34">
        <v>2030</v>
      </c>
      <c r="G4" s="35"/>
      <c r="H4" s="36"/>
      <c r="I4" s="13" t="b">
        <v>1</v>
      </c>
      <c r="J4" s="25" t="s">
        <v>103</v>
      </c>
    </row>
    <row r="5" spans="1:10" x14ac:dyDescent="0.2">
      <c r="A5" s="3" t="s">
        <v>12</v>
      </c>
      <c r="B5" s="40" t="s">
        <v>1</v>
      </c>
      <c r="C5" s="41"/>
      <c r="D5" s="41"/>
      <c r="E5" s="42"/>
      <c r="F5" s="34">
        <v>2070</v>
      </c>
      <c r="G5" s="35"/>
      <c r="H5" s="36"/>
      <c r="I5" s="13" t="b">
        <v>1</v>
      </c>
    </row>
    <row r="6" spans="1:10" x14ac:dyDescent="0.2">
      <c r="A6" s="3" t="s">
        <v>5</v>
      </c>
      <c r="B6" s="40" t="s">
        <v>76</v>
      </c>
      <c r="C6" s="41"/>
      <c r="D6" s="41"/>
      <c r="E6" s="42"/>
      <c r="F6" s="34">
        <v>2080</v>
      </c>
      <c r="G6" s="35"/>
      <c r="H6" s="36"/>
      <c r="I6" s="13" t="b">
        <v>0</v>
      </c>
    </row>
    <row r="7" spans="1:10" ht="15" x14ac:dyDescent="0.25">
      <c r="A7" s="3" t="s">
        <v>6</v>
      </c>
      <c r="B7" s="40" t="s">
        <v>77</v>
      </c>
      <c r="C7" s="41"/>
      <c r="D7" s="41"/>
      <c r="E7" s="42"/>
      <c r="F7" s="27" t="s">
        <v>15</v>
      </c>
      <c r="G7" s="27"/>
      <c r="H7" s="27"/>
      <c r="I7" s="28"/>
    </row>
    <row r="8" spans="1:10" ht="15" x14ac:dyDescent="0.25">
      <c r="A8" s="3" t="s">
        <v>7</v>
      </c>
      <c r="B8" s="40" t="s">
        <v>78</v>
      </c>
      <c r="C8" s="41"/>
      <c r="D8" s="41"/>
      <c r="E8" s="42"/>
      <c r="F8" s="46" t="s">
        <v>26</v>
      </c>
      <c r="G8" s="46"/>
      <c r="H8" s="46"/>
      <c r="I8" s="47"/>
    </row>
    <row r="9" spans="1:10" ht="15" x14ac:dyDescent="0.25">
      <c r="A9" s="3" t="s">
        <v>8</v>
      </c>
      <c r="B9" s="40" t="s">
        <v>79</v>
      </c>
      <c r="C9" s="41"/>
      <c r="D9" s="41"/>
      <c r="E9" s="42"/>
      <c r="F9" s="46" t="s">
        <v>18</v>
      </c>
      <c r="G9" s="46"/>
      <c r="H9" s="46"/>
      <c r="I9" s="47"/>
    </row>
    <row r="10" spans="1:10" ht="15.75" thickBot="1" x14ac:dyDescent="0.3">
      <c r="A10" s="3" t="s">
        <v>9</v>
      </c>
      <c r="B10" s="40" t="s">
        <v>0</v>
      </c>
      <c r="C10" s="41"/>
      <c r="D10" s="41"/>
      <c r="E10" s="42"/>
      <c r="F10" s="20" t="s">
        <v>27</v>
      </c>
      <c r="G10" s="6"/>
      <c r="H10" s="6"/>
      <c r="I10" s="7"/>
    </row>
    <row r="11" spans="1:10" ht="15" x14ac:dyDescent="0.25">
      <c r="A11" s="9" t="s">
        <v>19</v>
      </c>
      <c r="B11" s="48"/>
      <c r="C11" s="49"/>
      <c r="D11" s="49"/>
      <c r="E11" s="50"/>
      <c r="F11" s="48"/>
      <c r="G11" s="49"/>
      <c r="H11" s="49"/>
      <c r="I11" s="50"/>
    </row>
    <row r="12" spans="1:10" ht="13.5" thickBot="1" x14ac:dyDescent="0.25">
      <c r="A12" s="24" t="s">
        <v>9</v>
      </c>
      <c r="B12" s="51"/>
      <c r="C12" s="52"/>
      <c r="D12" s="52"/>
      <c r="E12" s="53"/>
      <c r="F12" s="51"/>
      <c r="G12" s="52"/>
      <c r="H12" s="52"/>
      <c r="I12" s="53"/>
    </row>
    <row r="13" spans="1:10" ht="15" x14ac:dyDescent="0.25">
      <c r="A13" s="9" t="s">
        <v>71</v>
      </c>
      <c r="B13" s="54"/>
      <c r="C13" s="55"/>
      <c r="D13" s="55"/>
      <c r="E13" s="56"/>
      <c r="F13" s="54"/>
      <c r="G13" s="55"/>
      <c r="H13" s="55"/>
      <c r="I13" s="56"/>
    </row>
    <row r="14" spans="1:10" x14ac:dyDescent="0.2">
      <c r="A14" s="10">
        <v>2070</v>
      </c>
      <c r="B14" s="48"/>
      <c r="C14" s="49"/>
      <c r="D14" s="49"/>
      <c r="E14" s="50"/>
      <c r="F14" s="48"/>
      <c r="G14" s="49"/>
      <c r="H14" s="49"/>
      <c r="I14" s="50"/>
    </row>
    <row r="15" spans="1:10" x14ac:dyDescent="0.2">
      <c r="B15" s="51"/>
      <c r="C15" s="52"/>
      <c r="D15" s="52"/>
      <c r="E15" s="53"/>
      <c r="F15" s="51"/>
      <c r="G15" s="52"/>
      <c r="H15" s="52"/>
      <c r="I15" s="53"/>
    </row>
    <row r="16" spans="1:10" x14ac:dyDescent="0.2">
      <c r="B16" s="54"/>
      <c r="C16" s="55"/>
      <c r="D16" s="55"/>
      <c r="E16" s="56"/>
      <c r="F16" s="54"/>
      <c r="G16" s="55"/>
      <c r="H16" s="55"/>
      <c r="I16" s="56"/>
    </row>
    <row r="17" spans="1:9" ht="12.75" customHeight="1" x14ac:dyDescent="0.2">
      <c r="A17" s="57"/>
      <c r="B17" s="48"/>
      <c r="C17" s="49"/>
      <c r="D17" s="49"/>
      <c r="E17" s="50"/>
      <c r="F17" s="48"/>
      <c r="G17" s="49"/>
      <c r="H17" s="49"/>
      <c r="I17" s="50"/>
    </row>
    <row r="18" spans="1:9" ht="12.75" customHeight="1" x14ac:dyDescent="0.2">
      <c r="A18" s="58"/>
      <c r="B18" s="51"/>
      <c r="C18" s="52"/>
      <c r="D18" s="52"/>
      <c r="E18" s="53"/>
      <c r="F18" s="51"/>
      <c r="G18" s="52"/>
      <c r="H18" s="52"/>
      <c r="I18" s="53"/>
    </row>
    <row r="19" spans="1:9" ht="12.75" customHeight="1" x14ac:dyDescent="0.2">
      <c r="A19" s="59"/>
      <c r="B19" s="54"/>
      <c r="C19" s="55"/>
      <c r="D19" s="55"/>
      <c r="E19" s="56"/>
      <c r="F19" s="54"/>
      <c r="G19" s="55"/>
      <c r="H19" s="55"/>
      <c r="I19" s="56"/>
    </row>
    <row r="20" spans="1:9" x14ac:dyDescent="0.2">
      <c r="A20" s="4"/>
      <c r="B20" s="4"/>
      <c r="C20" s="4"/>
      <c r="D20" s="4"/>
      <c r="E20" s="4"/>
      <c r="F20" s="4"/>
    </row>
    <row r="21" spans="1:9" ht="15.75" x14ac:dyDescent="0.25">
      <c r="A21" s="14" t="s">
        <v>13</v>
      </c>
      <c r="B21" s="43" t="s">
        <v>14</v>
      </c>
      <c r="C21" s="44"/>
      <c r="D21" s="44"/>
      <c r="E21" s="44"/>
      <c r="F21" s="44"/>
      <c r="G21" s="44"/>
      <c r="H21" s="44"/>
      <c r="I21" s="45"/>
    </row>
    <row r="22" spans="1:9" ht="15" x14ac:dyDescent="0.25">
      <c r="A22" s="5" t="s">
        <v>20</v>
      </c>
      <c r="B22" s="37" t="s">
        <v>72</v>
      </c>
      <c r="C22" s="38"/>
      <c r="D22" s="38"/>
      <c r="E22" s="38"/>
      <c r="F22" s="38"/>
      <c r="G22" s="38"/>
      <c r="H22" s="38"/>
      <c r="I22" s="39"/>
    </row>
    <row r="23" spans="1:9" ht="15" x14ac:dyDescent="0.25">
      <c r="A23" s="5" t="s">
        <v>21</v>
      </c>
      <c r="B23" s="37" t="s">
        <v>86</v>
      </c>
      <c r="C23" s="38"/>
      <c r="D23" s="38"/>
      <c r="E23" s="38"/>
      <c r="F23" s="38"/>
      <c r="G23" s="38"/>
      <c r="H23" s="38"/>
      <c r="I23" s="39"/>
    </row>
    <row r="24" spans="1:9" ht="15" x14ac:dyDescent="0.25">
      <c r="A24" s="5" t="s">
        <v>73</v>
      </c>
      <c r="B24" s="37" t="s">
        <v>83</v>
      </c>
      <c r="C24" s="38"/>
      <c r="D24" s="38"/>
      <c r="E24" s="38"/>
      <c r="F24" s="38"/>
      <c r="G24" s="38"/>
      <c r="H24" s="38"/>
      <c r="I24" s="39"/>
    </row>
    <row r="25" spans="1:9" ht="15" x14ac:dyDescent="0.25">
      <c r="A25" s="5" t="s">
        <v>22</v>
      </c>
      <c r="B25" s="37" t="s">
        <v>90</v>
      </c>
      <c r="C25" s="38"/>
      <c r="D25" s="38"/>
      <c r="E25" s="38"/>
      <c r="F25" s="38"/>
      <c r="G25" s="38"/>
      <c r="H25" s="38"/>
      <c r="I25" s="39"/>
    </row>
    <row r="26" spans="1:9" ht="15" x14ac:dyDescent="0.25">
      <c r="A26" s="5" t="s">
        <v>23</v>
      </c>
      <c r="B26" s="37" t="s">
        <v>91</v>
      </c>
      <c r="C26" s="38"/>
      <c r="D26" s="38"/>
      <c r="E26" s="38"/>
      <c r="F26" s="38"/>
      <c r="G26" s="38"/>
      <c r="H26" s="38"/>
      <c r="I26" s="39"/>
    </row>
    <row r="27" spans="1:9" ht="15" x14ac:dyDescent="0.25">
      <c r="A27" s="5" t="s">
        <v>96</v>
      </c>
      <c r="B27" s="37" t="s">
        <v>90</v>
      </c>
      <c r="C27" s="38"/>
      <c r="D27" s="38"/>
      <c r="E27" s="38"/>
      <c r="F27" s="38"/>
      <c r="G27" s="38"/>
      <c r="H27" s="38"/>
      <c r="I27" s="39"/>
    </row>
    <row r="28" spans="1:9" ht="15" x14ac:dyDescent="0.25">
      <c r="A28" s="5" t="s">
        <v>33</v>
      </c>
      <c r="B28" s="37" t="s">
        <v>87</v>
      </c>
      <c r="C28" s="38"/>
      <c r="D28" s="38"/>
      <c r="E28" s="38"/>
      <c r="F28" s="38"/>
      <c r="G28" s="38"/>
      <c r="H28" s="38"/>
      <c r="I28" s="39"/>
    </row>
    <row r="29" spans="1:9" ht="15" x14ac:dyDescent="0.25">
      <c r="A29" s="5" t="s">
        <v>24</v>
      </c>
      <c r="B29" s="37" t="s">
        <v>88</v>
      </c>
      <c r="C29" s="38"/>
      <c r="D29" s="38"/>
      <c r="E29" s="38"/>
      <c r="F29" s="38"/>
      <c r="G29" s="38"/>
      <c r="H29" s="38"/>
      <c r="I29" s="39"/>
    </row>
    <row r="30" spans="1:9" ht="15" x14ac:dyDescent="0.25">
      <c r="A30" s="5" t="s">
        <v>25</v>
      </c>
      <c r="B30" s="37" t="s">
        <v>89</v>
      </c>
      <c r="C30" s="38"/>
      <c r="D30" s="38"/>
      <c r="E30" s="38"/>
      <c r="F30" s="38"/>
      <c r="G30" s="38"/>
      <c r="H30" s="38"/>
      <c r="I30" s="39"/>
    </row>
  </sheetData>
  <mergeCells count="33">
    <mergeCell ref="A17:A19"/>
    <mergeCell ref="B14:E16"/>
    <mergeCell ref="B17:E19"/>
    <mergeCell ref="F11:I13"/>
    <mergeCell ref="F14:I16"/>
    <mergeCell ref="F17:I19"/>
    <mergeCell ref="B30:I30"/>
    <mergeCell ref="B23:I23"/>
    <mergeCell ref="B25:I25"/>
    <mergeCell ref="B28:I28"/>
    <mergeCell ref="B29:I29"/>
    <mergeCell ref="B27:I27"/>
    <mergeCell ref="B22:I22"/>
    <mergeCell ref="B26:I26"/>
    <mergeCell ref="B4:E4"/>
    <mergeCell ref="B5:E5"/>
    <mergeCell ref="B6:E6"/>
    <mergeCell ref="B7:E7"/>
    <mergeCell ref="F7:I7"/>
    <mergeCell ref="B8:E8"/>
    <mergeCell ref="B9:E9"/>
    <mergeCell ref="B10:E10"/>
    <mergeCell ref="B21:I21"/>
    <mergeCell ref="F8:I8"/>
    <mergeCell ref="F9:I9"/>
    <mergeCell ref="B11:E13"/>
    <mergeCell ref="B24:I24"/>
    <mergeCell ref="F6:H6"/>
    <mergeCell ref="F2:I2"/>
    <mergeCell ref="A1:I1"/>
    <mergeCell ref="F3:H3"/>
    <mergeCell ref="F4:H4"/>
    <mergeCell ref="F5:H5"/>
  </mergeCells>
  <dataValidations count="4">
    <dataValidation type="list" allowBlank="1" showInputMessage="1" showErrorMessage="1" sqref="I4:I6">
      <formula1>"TRUE,FALSE"</formula1>
    </dataValidation>
    <dataValidation type="list" allowBlank="1" showInputMessage="1" showErrorMessage="1" sqref="A12">
      <formula1>$A$5:$A$10</formula1>
    </dataValidation>
    <dataValidation type="list" allowBlank="1" showInputMessage="1" showErrorMessage="1" sqref="A14">
      <formula1>$F$4:$F$6</formula1>
    </dataValidation>
    <dataValidation type="list" allowBlank="1" showInputMessage="1" showErrorMessage="1" sqref="J4">
      <formula1>"CMIP3,CMIP5"</formula1>
    </dataValidation>
  </dataValidations>
  <pageMargins left="0.7" right="0.7" top="0.75" bottom="0.75" header="0.3" footer="0.3"/>
  <pageSetup scale="5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D16"/>
  <sheetViews>
    <sheetView zoomScaleNormal="100" workbookViewId="0">
      <selection activeCell="A16" sqref="A16"/>
    </sheetView>
  </sheetViews>
  <sheetFormatPr defaultRowHeight="12.75" x14ac:dyDescent="0.2"/>
  <cols>
    <col min="1" max="1" width="10.140625" customWidth="1"/>
    <col min="2" max="2" width="89.140625" customWidth="1"/>
    <col min="3" max="3" width="8.28515625" customWidth="1"/>
    <col min="4" max="4" width="54.42578125" customWidth="1"/>
  </cols>
  <sheetData>
    <row r="1" spans="1:4" ht="31.5" customHeight="1" x14ac:dyDescent="0.2">
      <c r="A1" s="23">
        <f>Setup!C3</f>
        <v>25477</v>
      </c>
      <c r="B1" t="s">
        <v>2</v>
      </c>
      <c r="D1" s="12" t="s">
        <v>32</v>
      </c>
    </row>
    <row r="2" spans="1:4" x14ac:dyDescent="0.2">
      <c r="A2" s="23">
        <f>Setup!E3</f>
        <v>36433</v>
      </c>
      <c r="B2" t="s">
        <v>3</v>
      </c>
    </row>
    <row r="3" spans="1:4" ht="18" customHeight="1" x14ac:dyDescent="0.2">
      <c r="A3" s="1" t="s">
        <v>28</v>
      </c>
      <c r="B3" t="str">
        <f>SUBSTITUTE(Setup!B29,".mdl",Setup!$A$14&amp;"_"&amp;Setup!$A$12&amp;"_"&amp;Setup!$J$4&amp;".mdl")</f>
        <v>C:\fieldprojects\KlamathBasin\ManagementModels\KBS_DamsIn_DecisionModel2070_S5_CMIP3.mdl.gz</v>
      </c>
      <c r="C3" s="1"/>
      <c r="D3" s="11" t="s">
        <v>99</v>
      </c>
    </row>
    <row r="4" spans="1:4" ht="15" customHeight="1" x14ac:dyDescent="0.2">
      <c r="A4" s="1" t="s">
        <v>29</v>
      </c>
      <c r="B4" t="str">
        <f>Setup!B30</f>
        <v>C:\fieldprojects\KlamathBasin\ManagementModels\KBS_DamsIn_DecisionModel.rls.gz</v>
      </c>
      <c r="C4" s="1"/>
      <c r="D4" s="11" t="s">
        <v>100</v>
      </c>
    </row>
    <row r="5" spans="1:4" ht="25.5" customHeight="1" x14ac:dyDescent="0.2">
      <c r="A5" t="s">
        <v>10</v>
      </c>
      <c r="B5" s="2" t="str">
        <f>Setup!$B$23&amp;Setup!$J$4&amp;"\"&amp;Setup!$B$24&amp;Setup!$A$14&amp;"DailyCCFlow.xlsx"</f>
        <v>C:\fieldprojects\KlamathBasin\data\climatechange\CMIP3\KBSFlows2070DailyCCFlow.xlsx</v>
      </c>
      <c r="C5" s="1" t="str">
        <f>Setup!$A$12</f>
        <v>S5</v>
      </c>
      <c r="D5" s="11" t="s">
        <v>30</v>
      </c>
    </row>
    <row r="6" spans="1:4" ht="28.5" customHeight="1" x14ac:dyDescent="0.2">
      <c r="A6" t="s">
        <v>10</v>
      </c>
      <c r="B6" s="2" t="str">
        <f>Setup!$B$23&amp;Setup!$J$4&amp;"\"&amp;Setup!$B$26&amp;Setup!$A$14&amp;"DailyCCTotalEvap.xlsx"</f>
        <v>C:\fieldprojects\KlamathBasin\data\climatechange\CMIP3\KBSEvap2070DailyCCTotalEvap.xlsx</v>
      </c>
      <c r="C6" s="1" t="str">
        <f>Setup!$A$12</f>
        <v>S5</v>
      </c>
      <c r="D6" s="11" t="s">
        <v>92</v>
      </c>
    </row>
    <row r="7" spans="1:4" ht="28.5" customHeight="1" x14ac:dyDescent="0.2">
      <c r="A7" t="s">
        <v>10</v>
      </c>
      <c r="B7" s="2" t="str">
        <f>Setup!$B$23&amp;Setup!$J$4&amp;"\"&amp;Setup!$B$26&amp;Setup!$A$14&amp;"DailyCCPrcp.xlsx"</f>
        <v>C:\fieldprojects\KlamathBasin\data\climatechange\CMIP3\KBSEvap2070DailyCCPrcp.xlsx</v>
      </c>
      <c r="C7" s="1" t="str">
        <f>Setup!$A$12</f>
        <v>S5</v>
      </c>
      <c r="D7" s="11" t="s">
        <v>93</v>
      </c>
    </row>
    <row r="8" spans="1:4" x14ac:dyDescent="0.2">
      <c r="A8" t="s">
        <v>10</v>
      </c>
      <c r="B8" s="2" t="str">
        <f>Setup!$B$23&amp;Setup!$J$4&amp;"\"&amp;Setup!$B$25&amp;Setup!$A$14&amp;"S0GDDDailyCCDepletion.xlsx"</f>
        <v>C:\fieldprojects\KlamathBasin\data\climatechange\CMIP3\KBS2070S0GDDDailyCCDepletion.xlsx</v>
      </c>
      <c r="C8" s="1" t="str">
        <f>Setup!$A$12</f>
        <v>S5</v>
      </c>
      <c r="D8" s="11" t="s">
        <v>94</v>
      </c>
    </row>
    <row r="9" spans="1:4" x14ac:dyDescent="0.2">
      <c r="A9" t="s">
        <v>10</v>
      </c>
      <c r="B9" s="2" t="str">
        <f>Setup!$B$23&amp;Setup!$J$4&amp;"\"&amp;Setup!$B$25&amp;Setup!$A$14&amp;"S0GDDDailyCCDepletion.xlsx"</f>
        <v>C:\fieldprojects\KlamathBasin\data\climatechange\CMIP3\KBS2070S0GDDDailyCCDepletion.xlsx</v>
      </c>
      <c r="C9" s="1" t="s">
        <v>12</v>
      </c>
      <c r="D9" s="11" t="s">
        <v>95</v>
      </c>
    </row>
    <row r="10" spans="1:4" x14ac:dyDescent="0.2">
      <c r="A10" t="s">
        <v>10</v>
      </c>
      <c r="B10" s="2" t="str">
        <f>Setup!$B$23&amp;Setup!$J$4&amp;"\"&amp;Setup!$B$25&amp;Setup!$A$14&amp;"DailyCCMIRD.xlsx"</f>
        <v>C:\fieldprojects\KlamathBasin\data\climatechange\CMIP3\KBS2070DailyCCMIRD.xlsx</v>
      </c>
      <c r="C10" s="1" t="str">
        <f>Setup!$A$12</f>
        <v>S5</v>
      </c>
      <c r="D10" s="11" t="s">
        <v>94</v>
      </c>
    </row>
    <row r="11" spans="1:4" x14ac:dyDescent="0.2">
      <c r="A11" t="s">
        <v>10</v>
      </c>
      <c r="B11" s="2" t="str">
        <f>Setup!$B$23&amp;Setup!$J$4&amp;"\"&amp;Setup!$B$25&amp;Setup!$A$14&amp;"DailyCCMIRD.xlsx"</f>
        <v>C:\fieldprojects\KlamathBasin\data\climatechange\CMIP3\KBS2070DailyCCMIRD.xlsx</v>
      </c>
      <c r="C11" s="1" t="s">
        <v>12</v>
      </c>
      <c r="D11" s="11" t="s">
        <v>95</v>
      </c>
    </row>
    <row r="12" spans="1:4" x14ac:dyDescent="0.2">
      <c r="A12" t="s">
        <v>10</v>
      </c>
      <c r="B12" s="2" t="str">
        <f>Setup!$B$28&amp;"KBSModelInputData.xlsx"</f>
        <v>C:\fieldprojects\KlamathBasin\data\simulated\KBSModelInputData.xlsx</v>
      </c>
      <c r="C12" s="1"/>
      <c r="D12" s="11" t="s">
        <v>31</v>
      </c>
    </row>
    <row r="13" spans="1:4" x14ac:dyDescent="0.2">
      <c r="A13" t="s">
        <v>10</v>
      </c>
      <c r="B13" s="2" t="str">
        <f>Setup!$B$28&amp;"KBSModelOutputData.xlsx"</f>
        <v>C:\fieldprojects\KlamathBasin\data\simulated\KBSModelOutputData.xlsx</v>
      </c>
      <c r="C13" s="1"/>
      <c r="D13" s="11" t="s">
        <v>97</v>
      </c>
    </row>
    <row r="14" spans="1:4" x14ac:dyDescent="0.2">
      <c r="A14" s="1" t="s">
        <v>10</v>
      </c>
      <c r="B14" s="2" t="str">
        <f>Setup!$B$23&amp;Setup!$J$4&amp;"\"&amp;Setup!$B$27&amp;Setup!$A$14&amp;"DailyCCRWOutput.xlsx"</f>
        <v>C:\fieldprojects\KlamathBasin\data\climatechange\CMIP3\KBS2070DailyCCRWOutput.xlsx</v>
      </c>
      <c r="C14" s="1" t="str">
        <f>Setup!$A$12</f>
        <v>S5</v>
      </c>
      <c r="D14" s="11" t="s">
        <v>98</v>
      </c>
    </row>
    <row r="15" spans="1:4" x14ac:dyDescent="0.2">
      <c r="A15" t="s">
        <v>10</v>
      </c>
      <c r="B15" s="2" t="str">
        <f>Setup!$B$28&amp;"KBSModelRBM10OutputData.xlsx"</f>
        <v>C:\fieldprojects\KlamathBasin\data\simulated\KBSModelRBM10OutputData.xlsx</v>
      </c>
      <c r="C15" s="1"/>
      <c r="D15" s="11" t="s">
        <v>101</v>
      </c>
    </row>
    <row r="16" spans="1:4" x14ac:dyDescent="0.2">
      <c r="A16" s="1" t="s">
        <v>10</v>
      </c>
      <c r="B16" s="2" t="str">
        <f>Setup!$B$23&amp;Setup!$J$4&amp;"\"&amp;Setup!$B$27&amp;Setup!$A$14&amp;"DailyCCRWRBM10Output.xlsx"</f>
        <v>C:\fieldprojects\KlamathBasin\data\climatechange\CMIP3\KBS2070DailyCCRWRBM10Output.xlsx</v>
      </c>
      <c r="C16" s="1" t="str">
        <f>Setup!$A$12</f>
        <v>S5</v>
      </c>
      <c r="D16" s="11" t="s">
        <v>102</v>
      </c>
    </row>
  </sheetData>
  <pageMargins left="0.7" right="0.7" top="0.75" bottom="0.75" header="0.3" footer="0.3"/>
  <pageSetup scale="7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05"/>
  <sheetViews>
    <sheetView zoomScaleNormal="100" workbookViewId="0"/>
  </sheetViews>
  <sheetFormatPr defaultRowHeight="12.75" x14ac:dyDescent="0.2"/>
  <cols>
    <col min="1" max="1" width="146.42578125" customWidth="1"/>
    <col min="2" max="2" width="2.42578125" hidden="1" customWidth="1"/>
    <col min="3" max="7" width="9.140625" hidden="1" customWidth="1"/>
  </cols>
  <sheetData>
    <row r="1" spans="1:1" ht="45" x14ac:dyDescent="0.25">
      <c r="A1" s="18" t="s">
        <v>62</v>
      </c>
    </row>
    <row r="2" spans="1:1" ht="336" customHeight="1" x14ac:dyDescent="0.2">
      <c r="A2" s="16" t="s">
        <v>63</v>
      </c>
    </row>
    <row r="3" spans="1:1" ht="13.5" customHeight="1" x14ac:dyDescent="0.2">
      <c r="A3" s="16"/>
    </row>
    <row r="4" spans="1:1" ht="13.5" customHeight="1" x14ac:dyDescent="0.25">
      <c r="A4" s="18" t="s">
        <v>66</v>
      </c>
    </row>
    <row r="5" spans="1:1" ht="30" x14ac:dyDescent="0.25">
      <c r="A5" s="19" t="s">
        <v>67</v>
      </c>
    </row>
    <row r="6" spans="1:1" ht="30" x14ac:dyDescent="0.25">
      <c r="A6" s="19" t="s">
        <v>68</v>
      </c>
    </row>
    <row r="7" spans="1:1" ht="15" x14ac:dyDescent="0.25">
      <c r="A7" s="19" t="s">
        <v>69</v>
      </c>
    </row>
    <row r="8" spans="1:1" ht="15" x14ac:dyDescent="0.25">
      <c r="A8" s="19" t="s">
        <v>70</v>
      </c>
    </row>
    <row r="9" spans="1:1" ht="15" x14ac:dyDescent="0.25">
      <c r="A9" s="18"/>
    </row>
    <row r="10" spans="1:1" ht="14.25" x14ac:dyDescent="0.2">
      <c r="A10" s="16" t="s">
        <v>34</v>
      </c>
    </row>
    <row r="11" spans="1:1" ht="15" x14ac:dyDescent="0.25">
      <c r="A11" s="15" t="s">
        <v>35</v>
      </c>
    </row>
    <row r="12" spans="1:1" ht="15" x14ac:dyDescent="0.25">
      <c r="A12" s="15" t="s">
        <v>36</v>
      </c>
    </row>
    <row r="13" spans="1:1" ht="15" x14ac:dyDescent="0.25">
      <c r="A13" s="15" t="s">
        <v>37</v>
      </c>
    </row>
    <row r="14" spans="1:1" ht="15" x14ac:dyDescent="0.25">
      <c r="A14" s="15" t="s">
        <v>38</v>
      </c>
    </row>
    <row r="15" spans="1:1" ht="15" x14ac:dyDescent="0.25">
      <c r="A15" s="15" t="s">
        <v>39</v>
      </c>
    </row>
    <row r="16" spans="1:1" ht="15" x14ac:dyDescent="0.25">
      <c r="A16" s="15" t="s">
        <v>40</v>
      </c>
    </row>
    <row r="17" spans="1:1" ht="15" x14ac:dyDescent="0.25">
      <c r="A17" s="15" t="s">
        <v>41</v>
      </c>
    </row>
    <row r="18" spans="1:1" ht="15" x14ac:dyDescent="0.25">
      <c r="A18" s="15" t="s">
        <v>42</v>
      </c>
    </row>
    <row r="19" spans="1:1" ht="15" x14ac:dyDescent="0.25">
      <c r="A19" s="15" t="s">
        <v>43</v>
      </c>
    </row>
    <row r="20" spans="1:1" ht="15" x14ac:dyDescent="0.25">
      <c r="A20" s="15" t="s">
        <v>44</v>
      </c>
    </row>
    <row r="21" spans="1:1" ht="15" x14ac:dyDescent="0.25">
      <c r="A21" s="15" t="s">
        <v>45</v>
      </c>
    </row>
    <row r="22" spans="1:1" ht="15" x14ac:dyDescent="0.25">
      <c r="A22" s="15" t="s">
        <v>46</v>
      </c>
    </row>
    <row r="23" spans="1:1" ht="15" x14ac:dyDescent="0.25">
      <c r="A23" s="15" t="s">
        <v>47</v>
      </c>
    </row>
    <row r="24" spans="1:1" ht="15" x14ac:dyDescent="0.25">
      <c r="A24" s="15" t="s">
        <v>48</v>
      </c>
    </row>
    <row r="25" spans="1:1" ht="15" x14ac:dyDescent="0.25">
      <c r="A25" s="15" t="s">
        <v>49</v>
      </c>
    </row>
    <row r="26" spans="1:1" ht="15" x14ac:dyDescent="0.25">
      <c r="A26" s="15" t="s">
        <v>47</v>
      </c>
    </row>
    <row r="27" spans="1:1" ht="15" x14ac:dyDescent="0.25">
      <c r="A27" s="15" t="s">
        <v>50</v>
      </c>
    </row>
    <row r="28" spans="1:1" ht="15" x14ac:dyDescent="0.25">
      <c r="A28" s="15" t="s">
        <v>51</v>
      </c>
    </row>
    <row r="29" spans="1:1" ht="15" x14ac:dyDescent="0.25">
      <c r="A29" s="18"/>
    </row>
    <row r="30" spans="1:1" ht="60" x14ac:dyDescent="0.25">
      <c r="A30" s="18" t="s">
        <v>65</v>
      </c>
    </row>
    <row r="31" spans="1:1" ht="15" x14ac:dyDescent="0.25">
      <c r="A31" s="18"/>
    </row>
    <row r="32" spans="1:1" ht="14.25" x14ac:dyDescent="0.2">
      <c r="A32" s="16" t="s">
        <v>64</v>
      </c>
    </row>
    <row r="33" spans="1:1" ht="14.25" x14ac:dyDescent="0.2">
      <c r="A33" s="17"/>
    </row>
    <row r="34" spans="1:1" ht="14.25" x14ac:dyDescent="0.2">
      <c r="A34" s="17" t="s">
        <v>52</v>
      </c>
    </row>
    <row r="35" spans="1:1" ht="14.25" x14ac:dyDescent="0.2">
      <c r="A35" s="17" t="s">
        <v>53</v>
      </c>
    </row>
    <row r="36" spans="1:1" ht="14.25" x14ac:dyDescent="0.2">
      <c r="A36" s="17" t="s">
        <v>54</v>
      </c>
    </row>
    <row r="37" spans="1:1" ht="14.25" x14ac:dyDescent="0.2">
      <c r="A37" s="17" t="s">
        <v>55</v>
      </c>
    </row>
    <row r="38" spans="1:1" ht="14.25" x14ac:dyDescent="0.2">
      <c r="A38" s="17" t="s">
        <v>56</v>
      </c>
    </row>
    <row r="39" spans="1:1" ht="14.25" x14ac:dyDescent="0.2">
      <c r="A39" s="17" t="s">
        <v>57</v>
      </c>
    </row>
    <row r="40" spans="1:1" ht="14.25" x14ac:dyDescent="0.2">
      <c r="A40" s="17" t="s">
        <v>58</v>
      </c>
    </row>
    <row r="41" spans="1:1" ht="14.25" x14ac:dyDescent="0.2">
      <c r="A41" s="17" t="s">
        <v>59</v>
      </c>
    </row>
    <row r="42" spans="1:1" ht="14.25" x14ac:dyDescent="0.2">
      <c r="A42" s="17" t="s">
        <v>60</v>
      </c>
    </row>
    <row r="43" spans="1:1" ht="14.25" x14ac:dyDescent="0.2">
      <c r="A43" s="17" t="s">
        <v>61</v>
      </c>
    </row>
    <row r="44" spans="1:1" ht="15" x14ac:dyDescent="0.25">
      <c r="A44" s="18"/>
    </row>
    <row r="45" spans="1:1" ht="15" x14ac:dyDescent="0.25">
      <c r="A45" s="18"/>
    </row>
    <row r="46" spans="1:1" ht="15" x14ac:dyDescent="0.25">
      <c r="A46" s="18"/>
    </row>
    <row r="47" spans="1:1" ht="15" x14ac:dyDescent="0.25">
      <c r="A47" s="18"/>
    </row>
    <row r="48" spans="1:1" ht="15" x14ac:dyDescent="0.25">
      <c r="A48" s="18"/>
    </row>
    <row r="49" spans="1:1" ht="15" x14ac:dyDescent="0.25">
      <c r="A49" s="18"/>
    </row>
    <row r="50" spans="1:1" ht="15" x14ac:dyDescent="0.25">
      <c r="A50" s="18"/>
    </row>
    <row r="51" spans="1:1" ht="15" x14ac:dyDescent="0.25">
      <c r="A51" s="18"/>
    </row>
    <row r="52" spans="1:1" ht="15" x14ac:dyDescent="0.25">
      <c r="A52" s="18"/>
    </row>
    <row r="53" spans="1:1" ht="15" x14ac:dyDescent="0.25">
      <c r="A53" s="18"/>
    </row>
    <row r="54" spans="1:1" ht="15" x14ac:dyDescent="0.25">
      <c r="A54" s="18"/>
    </row>
    <row r="55" spans="1:1" ht="15" x14ac:dyDescent="0.25">
      <c r="A55" s="18"/>
    </row>
    <row r="56" spans="1:1" ht="15" x14ac:dyDescent="0.25">
      <c r="A56" s="18"/>
    </row>
    <row r="57" spans="1:1" ht="15" x14ac:dyDescent="0.25">
      <c r="A57" s="18"/>
    </row>
    <row r="58" spans="1:1" ht="15" x14ac:dyDescent="0.25">
      <c r="A58" s="18"/>
    </row>
    <row r="59" spans="1:1" ht="15" x14ac:dyDescent="0.25">
      <c r="A59" s="18"/>
    </row>
    <row r="60" spans="1:1" ht="15" x14ac:dyDescent="0.25">
      <c r="A60" s="18"/>
    </row>
    <row r="61" spans="1:1" ht="15" x14ac:dyDescent="0.25">
      <c r="A61" s="18"/>
    </row>
    <row r="62" spans="1:1" ht="15" x14ac:dyDescent="0.25">
      <c r="A62" s="18"/>
    </row>
    <row r="63" spans="1:1" ht="15" x14ac:dyDescent="0.25">
      <c r="A63" s="18"/>
    </row>
    <row r="64" spans="1:1" ht="15" x14ac:dyDescent="0.25">
      <c r="A64" s="18"/>
    </row>
    <row r="65" spans="1:1" ht="15" x14ac:dyDescent="0.25">
      <c r="A65" s="18"/>
    </row>
    <row r="66" spans="1:1" ht="15" x14ac:dyDescent="0.25">
      <c r="A66" s="18"/>
    </row>
    <row r="67" spans="1:1" ht="15" x14ac:dyDescent="0.25">
      <c r="A67" s="18"/>
    </row>
    <row r="68" spans="1:1" ht="15" x14ac:dyDescent="0.25">
      <c r="A68" s="18"/>
    </row>
    <row r="69" spans="1:1" ht="15" x14ac:dyDescent="0.25">
      <c r="A69" s="18"/>
    </row>
    <row r="70" spans="1:1" ht="15" x14ac:dyDescent="0.25">
      <c r="A70" s="18"/>
    </row>
    <row r="71" spans="1:1" ht="15" x14ac:dyDescent="0.25">
      <c r="A71" s="18"/>
    </row>
    <row r="72" spans="1:1" ht="15" x14ac:dyDescent="0.25">
      <c r="A72" s="18"/>
    </row>
    <row r="73" spans="1:1" ht="15" x14ac:dyDescent="0.25">
      <c r="A73" s="18"/>
    </row>
    <row r="74" spans="1:1" ht="15" x14ac:dyDescent="0.25">
      <c r="A74" s="18"/>
    </row>
    <row r="75" spans="1:1" ht="15" x14ac:dyDescent="0.25">
      <c r="A75" s="18"/>
    </row>
    <row r="76" spans="1:1" ht="15" x14ac:dyDescent="0.25">
      <c r="A76" s="18"/>
    </row>
    <row r="77" spans="1:1" ht="15" x14ac:dyDescent="0.25">
      <c r="A77" s="18"/>
    </row>
    <row r="78" spans="1:1" ht="15" x14ac:dyDescent="0.25">
      <c r="A78" s="18"/>
    </row>
    <row r="79" spans="1:1" ht="15" x14ac:dyDescent="0.25">
      <c r="A79" s="18"/>
    </row>
    <row r="80" spans="1:1" ht="15" x14ac:dyDescent="0.25">
      <c r="A80" s="18"/>
    </row>
    <row r="81" spans="1:1" ht="15" x14ac:dyDescent="0.25">
      <c r="A81" s="18"/>
    </row>
    <row r="82" spans="1:1" ht="15" x14ac:dyDescent="0.25">
      <c r="A82" s="18"/>
    </row>
    <row r="83" spans="1:1" ht="15" x14ac:dyDescent="0.25">
      <c r="A83" s="18"/>
    </row>
    <row r="84" spans="1:1" ht="15" x14ac:dyDescent="0.25">
      <c r="A84" s="18"/>
    </row>
    <row r="85" spans="1:1" ht="15" x14ac:dyDescent="0.25">
      <c r="A85" s="18"/>
    </row>
    <row r="86" spans="1:1" ht="15" x14ac:dyDescent="0.25">
      <c r="A86" s="18"/>
    </row>
    <row r="87" spans="1:1" ht="15" x14ac:dyDescent="0.25">
      <c r="A87" s="18"/>
    </row>
    <row r="88" spans="1:1" ht="15" x14ac:dyDescent="0.25">
      <c r="A88" s="18"/>
    </row>
    <row r="89" spans="1:1" ht="15" x14ac:dyDescent="0.25">
      <c r="A89" s="18"/>
    </row>
    <row r="90" spans="1:1" ht="15" x14ac:dyDescent="0.25">
      <c r="A90" s="18"/>
    </row>
    <row r="91" spans="1:1" ht="15" x14ac:dyDescent="0.25">
      <c r="A91" s="18"/>
    </row>
    <row r="92" spans="1:1" ht="15" x14ac:dyDescent="0.25">
      <c r="A92" s="18"/>
    </row>
    <row r="93" spans="1:1" ht="15" x14ac:dyDescent="0.25">
      <c r="A93" s="18"/>
    </row>
    <row r="94" spans="1:1" ht="15" x14ac:dyDescent="0.25">
      <c r="A94" s="18"/>
    </row>
    <row r="95" spans="1:1" ht="15" x14ac:dyDescent="0.25">
      <c r="A95" s="18"/>
    </row>
    <row r="96" spans="1:1" ht="15" x14ac:dyDescent="0.25">
      <c r="A96" s="18"/>
    </row>
    <row r="97" spans="1:1" ht="15" x14ac:dyDescent="0.25">
      <c r="A97" s="18"/>
    </row>
    <row r="98" spans="1:1" ht="15" x14ac:dyDescent="0.25">
      <c r="A98" s="18"/>
    </row>
    <row r="99" spans="1:1" ht="15" x14ac:dyDescent="0.25">
      <c r="A99" s="18"/>
    </row>
    <row r="100" spans="1:1" ht="15" x14ac:dyDescent="0.25">
      <c r="A100" s="18"/>
    </row>
    <row r="101" spans="1:1" ht="15" x14ac:dyDescent="0.25">
      <c r="A101" s="18"/>
    </row>
    <row r="102" spans="1:1" ht="15" x14ac:dyDescent="0.25">
      <c r="A102" s="18"/>
    </row>
    <row r="103" spans="1:1" ht="15" x14ac:dyDescent="0.25">
      <c r="A103" s="18"/>
    </row>
    <row r="104" spans="1:1" ht="15" x14ac:dyDescent="0.25">
      <c r="A104" s="18"/>
    </row>
    <row r="105" spans="1:1" ht="15" x14ac:dyDescent="0.25">
      <c r="A105" s="18"/>
    </row>
    <row r="106" spans="1:1" ht="15" x14ac:dyDescent="0.25">
      <c r="A106" s="18"/>
    </row>
    <row r="107" spans="1:1" ht="15" x14ac:dyDescent="0.25">
      <c r="A107" s="18"/>
    </row>
    <row r="108" spans="1:1" ht="15" x14ac:dyDescent="0.25">
      <c r="A108" s="18"/>
    </row>
    <row r="109" spans="1:1" ht="15" x14ac:dyDescent="0.25">
      <c r="A109" s="18"/>
    </row>
    <row r="110" spans="1:1" ht="15" x14ac:dyDescent="0.25">
      <c r="A110" s="18"/>
    </row>
    <row r="111" spans="1:1" ht="15" x14ac:dyDescent="0.25">
      <c r="A111" s="18"/>
    </row>
    <row r="112" spans="1:1" ht="15" x14ac:dyDescent="0.25">
      <c r="A112" s="18"/>
    </row>
    <row r="113" spans="1:1" ht="15" x14ac:dyDescent="0.25">
      <c r="A113" s="18"/>
    </row>
    <row r="114" spans="1:1" ht="15" x14ac:dyDescent="0.25">
      <c r="A114" s="18"/>
    </row>
    <row r="115" spans="1:1" ht="15" x14ac:dyDescent="0.25">
      <c r="A115" s="18"/>
    </row>
    <row r="116" spans="1:1" ht="15" x14ac:dyDescent="0.25">
      <c r="A116" s="18"/>
    </row>
    <row r="117" spans="1:1" ht="15" x14ac:dyDescent="0.25">
      <c r="A117" s="18"/>
    </row>
    <row r="118" spans="1:1" ht="15" x14ac:dyDescent="0.25">
      <c r="A118" s="18"/>
    </row>
    <row r="119" spans="1:1" ht="15" x14ac:dyDescent="0.25">
      <c r="A119" s="18"/>
    </row>
    <row r="120" spans="1:1" ht="15" x14ac:dyDescent="0.25">
      <c r="A120" s="18"/>
    </row>
    <row r="121" spans="1:1" ht="15" x14ac:dyDescent="0.25">
      <c r="A121" s="18"/>
    </row>
    <row r="122" spans="1:1" ht="15" x14ac:dyDescent="0.25">
      <c r="A122" s="18"/>
    </row>
    <row r="123" spans="1:1" ht="15" x14ac:dyDescent="0.25">
      <c r="A123" s="18"/>
    </row>
    <row r="124" spans="1:1" ht="15" x14ac:dyDescent="0.25">
      <c r="A124" s="18"/>
    </row>
    <row r="125" spans="1:1" ht="15" x14ac:dyDescent="0.25">
      <c r="A125" s="18"/>
    </row>
    <row r="126" spans="1:1" ht="15" x14ac:dyDescent="0.25">
      <c r="A126" s="18"/>
    </row>
    <row r="127" spans="1:1" ht="15" x14ac:dyDescent="0.25">
      <c r="A127" s="18"/>
    </row>
    <row r="128" spans="1:1" ht="15" x14ac:dyDescent="0.25">
      <c r="A128" s="18"/>
    </row>
    <row r="129" spans="1:1" ht="15" x14ac:dyDescent="0.25">
      <c r="A129" s="18"/>
    </row>
    <row r="130" spans="1:1" ht="15" x14ac:dyDescent="0.25">
      <c r="A130" s="18"/>
    </row>
    <row r="131" spans="1:1" ht="15" x14ac:dyDescent="0.25">
      <c r="A131" s="18"/>
    </row>
    <row r="132" spans="1:1" ht="15" x14ac:dyDescent="0.25">
      <c r="A132" s="18"/>
    </row>
    <row r="133" spans="1:1" ht="15" x14ac:dyDescent="0.25">
      <c r="A133" s="18"/>
    </row>
    <row r="134" spans="1:1" ht="15" x14ac:dyDescent="0.25">
      <c r="A134" s="18"/>
    </row>
    <row r="135" spans="1:1" ht="15" x14ac:dyDescent="0.25">
      <c r="A135" s="18"/>
    </row>
    <row r="136" spans="1:1" ht="15" x14ac:dyDescent="0.25">
      <c r="A136" s="18"/>
    </row>
    <row r="137" spans="1:1" ht="15" x14ac:dyDescent="0.25">
      <c r="A137" s="18"/>
    </row>
    <row r="138" spans="1:1" ht="15" x14ac:dyDescent="0.25">
      <c r="A138" s="18"/>
    </row>
    <row r="139" spans="1:1" ht="15" x14ac:dyDescent="0.25">
      <c r="A139" s="18"/>
    </row>
    <row r="140" spans="1:1" ht="15" x14ac:dyDescent="0.25">
      <c r="A140" s="18"/>
    </row>
    <row r="141" spans="1:1" ht="15" x14ac:dyDescent="0.25">
      <c r="A141" s="18"/>
    </row>
    <row r="142" spans="1:1" ht="15" x14ac:dyDescent="0.25">
      <c r="A142" s="18"/>
    </row>
    <row r="143" spans="1:1" ht="15" x14ac:dyDescent="0.25">
      <c r="A143" s="18"/>
    </row>
    <row r="144" spans="1:1" ht="15" x14ac:dyDescent="0.25">
      <c r="A144" s="18"/>
    </row>
    <row r="145" spans="1:1" ht="15" x14ac:dyDescent="0.25">
      <c r="A145" s="18"/>
    </row>
    <row r="146" spans="1:1" ht="15" x14ac:dyDescent="0.25">
      <c r="A146" s="18"/>
    </row>
    <row r="147" spans="1:1" ht="15" x14ac:dyDescent="0.25">
      <c r="A147" s="18"/>
    </row>
    <row r="148" spans="1:1" ht="15" x14ac:dyDescent="0.25">
      <c r="A148" s="18"/>
    </row>
    <row r="149" spans="1:1" ht="15" x14ac:dyDescent="0.25">
      <c r="A149" s="18"/>
    </row>
    <row r="150" spans="1:1" ht="15" x14ac:dyDescent="0.25">
      <c r="A150" s="18"/>
    </row>
    <row r="151" spans="1:1" ht="15" x14ac:dyDescent="0.25">
      <c r="A151" s="18"/>
    </row>
    <row r="152" spans="1:1" ht="15" x14ac:dyDescent="0.25">
      <c r="A152" s="18"/>
    </row>
    <row r="153" spans="1:1" ht="15" x14ac:dyDescent="0.25">
      <c r="A153" s="18"/>
    </row>
    <row r="154" spans="1:1" ht="15" x14ac:dyDescent="0.25">
      <c r="A154" s="18"/>
    </row>
    <row r="155" spans="1:1" ht="15" x14ac:dyDescent="0.25">
      <c r="A155" s="18"/>
    </row>
    <row r="156" spans="1:1" ht="15" x14ac:dyDescent="0.25">
      <c r="A156" s="18"/>
    </row>
    <row r="157" spans="1:1" ht="15" x14ac:dyDescent="0.25">
      <c r="A157" s="18"/>
    </row>
    <row r="158" spans="1:1" ht="15" x14ac:dyDescent="0.25">
      <c r="A158" s="18"/>
    </row>
    <row r="159" spans="1:1" ht="15" x14ac:dyDescent="0.25">
      <c r="A159" s="18"/>
    </row>
    <row r="160" spans="1:1" ht="15" x14ac:dyDescent="0.25">
      <c r="A160" s="18"/>
    </row>
    <row r="161" spans="1:1" ht="15" x14ac:dyDescent="0.25">
      <c r="A161" s="18"/>
    </row>
    <row r="162" spans="1:1" ht="15" x14ac:dyDescent="0.25">
      <c r="A162" s="18"/>
    </row>
    <row r="163" spans="1:1" ht="15" x14ac:dyDescent="0.25">
      <c r="A163" s="18"/>
    </row>
    <row r="164" spans="1:1" ht="15" x14ac:dyDescent="0.25">
      <c r="A164" s="18"/>
    </row>
    <row r="165" spans="1:1" ht="15" x14ac:dyDescent="0.25">
      <c r="A165" s="18"/>
    </row>
    <row r="166" spans="1:1" ht="15" x14ac:dyDescent="0.25">
      <c r="A166" s="18"/>
    </row>
    <row r="167" spans="1:1" ht="15" x14ac:dyDescent="0.25">
      <c r="A167" s="18"/>
    </row>
    <row r="168" spans="1:1" ht="15" x14ac:dyDescent="0.25">
      <c r="A168" s="18"/>
    </row>
    <row r="169" spans="1:1" ht="15" x14ac:dyDescent="0.25">
      <c r="A169" s="18"/>
    </row>
    <row r="170" spans="1:1" ht="15" x14ac:dyDescent="0.25">
      <c r="A170" s="18"/>
    </row>
    <row r="171" spans="1:1" ht="15" x14ac:dyDescent="0.25">
      <c r="A171" s="18"/>
    </row>
    <row r="172" spans="1:1" ht="15" x14ac:dyDescent="0.25">
      <c r="A172" s="18"/>
    </row>
    <row r="173" spans="1:1" ht="15" x14ac:dyDescent="0.25">
      <c r="A173" s="18"/>
    </row>
    <row r="174" spans="1:1" ht="15" x14ac:dyDescent="0.25">
      <c r="A174" s="18"/>
    </row>
    <row r="175" spans="1:1" ht="15" x14ac:dyDescent="0.25">
      <c r="A175" s="18"/>
    </row>
    <row r="176" spans="1:1" ht="15" x14ac:dyDescent="0.25">
      <c r="A176" s="18"/>
    </row>
    <row r="177" spans="1:1" ht="15" x14ac:dyDescent="0.25">
      <c r="A177" s="18"/>
    </row>
    <row r="178" spans="1:1" ht="15" x14ac:dyDescent="0.25">
      <c r="A178" s="18"/>
    </row>
    <row r="179" spans="1:1" ht="15" x14ac:dyDescent="0.25">
      <c r="A179" s="18"/>
    </row>
    <row r="180" spans="1:1" ht="15" x14ac:dyDescent="0.25">
      <c r="A180" s="18"/>
    </row>
    <row r="181" spans="1:1" ht="15" x14ac:dyDescent="0.25">
      <c r="A181" s="18"/>
    </row>
    <row r="182" spans="1:1" ht="15" x14ac:dyDescent="0.25">
      <c r="A182" s="18"/>
    </row>
    <row r="183" spans="1:1" ht="15" x14ac:dyDescent="0.25">
      <c r="A183" s="18"/>
    </row>
    <row r="184" spans="1:1" ht="15" x14ac:dyDescent="0.25">
      <c r="A184" s="18"/>
    </row>
    <row r="185" spans="1:1" ht="15" x14ac:dyDescent="0.25">
      <c r="A185" s="18"/>
    </row>
    <row r="186" spans="1:1" ht="15" x14ac:dyDescent="0.25">
      <c r="A186" s="18"/>
    </row>
    <row r="187" spans="1:1" ht="15" x14ac:dyDescent="0.25">
      <c r="A187" s="18"/>
    </row>
    <row r="188" spans="1:1" ht="15" x14ac:dyDescent="0.25">
      <c r="A188" s="18"/>
    </row>
    <row r="189" spans="1:1" ht="15" x14ac:dyDescent="0.25">
      <c r="A189" s="18"/>
    </row>
    <row r="190" spans="1:1" ht="15" x14ac:dyDescent="0.25">
      <c r="A190" s="18"/>
    </row>
    <row r="191" spans="1:1" ht="15" x14ac:dyDescent="0.25">
      <c r="A191" s="18"/>
    </row>
    <row r="192" spans="1:1" ht="15" x14ac:dyDescent="0.25">
      <c r="A192" s="18"/>
    </row>
    <row r="193" spans="1:1" ht="15" x14ac:dyDescent="0.25">
      <c r="A193" s="18"/>
    </row>
    <row r="194" spans="1:1" ht="15" x14ac:dyDescent="0.25">
      <c r="A194" s="18"/>
    </row>
    <row r="195" spans="1:1" ht="15" x14ac:dyDescent="0.25">
      <c r="A195" s="18"/>
    </row>
    <row r="196" spans="1:1" ht="15" x14ac:dyDescent="0.25">
      <c r="A196" s="18"/>
    </row>
    <row r="197" spans="1:1" ht="15" x14ac:dyDescent="0.25">
      <c r="A197" s="18"/>
    </row>
    <row r="198" spans="1:1" ht="15" x14ac:dyDescent="0.25">
      <c r="A198" s="18"/>
    </row>
    <row r="199" spans="1:1" ht="15" x14ac:dyDescent="0.25">
      <c r="A199" s="18"/>
    </row>
    <row r="200" spans="1:1" ht="15" x14ac:dyDescent="0.25">
      <c r="A200" s="18"/>
    </row>
    <row r="201" spans="1:1" ht="15" x14ac:dyDescent="0.25">
      <c r="A201" s="18"/>
    </row>
    <row r="202" spans="1:1" ht="15" x14ac:dyDescent="0.25">
      <c r="A202" s="18"/>
    </row>
    <row r="203" spans="1:1" ht="15" x14ac:dyDescent="0.25">
      <c r="A203" s="18"/>
    </row>
    <row r="204" spans="1:1" ht="15" x14ac:dyDescent="0.25">
      <c r="A204" s="18"/>
    </row>
    <row r="205" spans="1:1" ht="15" x14ac:dyDescent="0.25">
      <c r="A205" s="18"/>
    </row>
  </sheetData>
  <pageMargins left="0.7" right="0.7" top="0.75" bottom="0.75" header="0.3" footer="0.3"/>
  <pageSetup scale="64"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Setup</vt:lpstr>
      <vt:lpstr>RWControl</vt:lpstr>
      <vt:lpstr>Instructions</vt:lpstr>
      <vt:lpstr>Instructions!Print_Area</vt:lpstr>
    </vt:vector>
  </TitlesOfParts>
  <Company>Department of the Interior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Levi Brekke</dc:creator>
  <cp:lastModifiedBy>King, David L</cp:lastModifiedBy>
  <cp:lastPrinted>2015-09-10T15:58:33Z</cp:lastPrinted>
  <dcterms:created xsi:type="dcterms:W3CDTF">2007-10-09T16:51:27Z</dcterms:created>
  <dcterms:modified xsi:type="dcterms:W3CDTF">2016-01-12T15:37:21Z</dcterms:modified>
</cp:coreProperties>
</file>